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adha pandey\Downloads\"/>
    </mc:Choice>
  </mc:AlternateContent>
  <xr:revisionPtr revIDLastSave="0" documentId="13_ncr:1_{178111F6-E9EA-4C27-B411-8BC962950700}" xr6:coauthVersionLast="47" xr6:coauthVersionMax="47" xr10:uidLastSave="{00000000-0000-0000-0000-000000000000}"/>
  <bookViews>
    <workbookView xWindow="-108" yWindow="-108" windowWidth="23256" windowHeight="12456" tabRatio="500" firstSheet="3" activeTab="6" xr2:uid="{00000000-000D-0000-FFFF-FFFF00000000}"/>
  </bookViews>
  <sheets>
    <sheet name="Cover" sheetId="1" r:id="rId1"/>
    <sheet name="P&amp;L" sheetId="2" r:id="rId2"/>
    <sheet name="Balance Sheet" sheetId="3" r:id="rId3"/>
    <sheet name="Cash Flow" sheetId="4" r:id="rId4"/>
    <sheet name="Ratios &amp; KPIs" sheetId="5" r:id="rId5"/>
    <sheet name="Charts" sheetId="6" r:id="rId6"/>
    <sheet name="Answer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4" i="7" l="1"/>
  <c r="D73" i="7"/>
  <c r="D42" i="7"/>
  <c r="D36" i="7"/>
  <c r="D35" i="7"/>
  <c r="D34" i="7"/>
  <c r="D9" i="7"/>
  <c r="D8" i="7"/>
  <c r="D7" i="7"/>
  <c r="D6" i="7"/>
  <c r="D5" i="7"/>
  <c r="B6" i="6"/>
  <c r="B5" i="6"/>
  <c r="B4" i="6"/>
  <c r="F25" i="5"/>
  <c r="E25" i="5"/>
  <c r="D25" i="5"/>
  <c r="C25" i="5"/>
  <c r="F24" i="5"/>
  <c r="E24" i="5"/>
  <c r="D24" i="5"/>
  <c r="C24" i="5"/>
  <c r="C17" i="5"/>
  <c r="C15" i="5"/>
  <c r="D31" i="4"/>
  <c r="D77" i="7" s="1"/>
  <c r="E30" i="4"/>
  <c r="G30" i="4" s="1"/>
  <c r="D30" i="4"/>
  <c r="C30" i="4"/>
  <c r="E29" i="4"/>
  <c r="G29" i="4" s="1"/>
  <c r="D26" i="4"/>
  <c r="G24" i="4"/>
  <c r="E24" i="4"/>
  <c r="D24" i="4"/>
  <c r="C24" i="4"/>
  <c r="G23" i="4"/>
  <c r="F23" i="4"/>
  <c r="G22" i="4"/>
  <c r="F22" i="4"/>
  <c r="G21" i="4"/>
  <c r="F21" i="4"/>
  <c r="G20" i="4"/>
  <c r="F20" i="4"/>
  <c r="F17" i="4"/>
  <c r="E17" i="4"/>
  <c r="G17" i="4" s="1"/>
  <c r="D17" i="4"/>
  <c r="C17" i="4"/>
  <c r="G16" i="4"/>
  <c r="F16" i="4"/>
  <c r="G15" i="4"/>
  <c r="F15" i="4"/>
  <c r="G14" i="4"/>
  <c r="F14" i="4"/>
  <c r="G11" i="4"/>
  <c r="E11" i="4"/>
  <c r="E27" i="5" s="1"/>
  <c r="D11" i="4"/>
  <c r="D29" i="4" s="1"/>
  <c r="C11" i="4"/>
  <c r="C26" i="4" s="1"/>
  <c r="G10" i="4"/>
  <c r="F10" i="4"/>
  <c r="G9" i="4"/>
  <c r="F9" i="4"/>
  <c r="G8" i="4"/>
  <c r="F8" i="4"/>
  <c r="G7" i="4"/>
  <c r="F7" i="4"/>
  <c r="G6" i="4"/>
  <c r="F6" i="4"/>
  <c r="E44" i="3"/>
  <c r="D44" i="3"/>
  <c r="G42" i="3"/>
  <c r="F42" i="3"/>
  <c r="E42" i="3"/>
  <c r="D42" i="3"/>
  <c r="D57" i="7" s="1"/>
  <c r="C42" i="3"/>
  <c r="D56" i="7" s="1"/>
  <c r="G41" i="3"/>
  <c r="F41" i="3"/>
  <c r="G40" i="3"/>
  <c r="F40" i="3"/>
  <c r="G39" i="3"/>
  <c r="F39" i="3"/>
  <c r="G38" i="3"/>
  <c r="F38" i="3"/>
  <c r="G35" i="3"/>
  <c r="F35" i="3"/>
  <c r="E35" i="3"/>
  <c r="D35" i="3"/>
  <c r="C35" i="3"/>
  <c r="C44" i="3" s="1"/>
  <c r="G34" i="3"/>
  <c r="F34" i="3"/>
  <c r="G33" i="3"/>
  <c r="F33" i="3"/>
  <c r="G32" i="3"/>
  <c r="F32" i="3"/>
  <c r="G31" i="3"/>
  <c r="F31" i="3"/>
  <c r="G30" i="3"/>
  <c r="F30" i="3"/>
  <c r="C25" i="3"/>
  <c r="F23" i="3"/>
  <c r="E23" i="3"/>
  <c r="E15" i="5" s="1"/>
  <c r="F15" i="5" s="1"/>
  <c r="D23" i="3"/>
  <c r="D17" i="5" s="1"/>
  <c r="C23" i="3"/>
  <c r="G22" i="3"/>
  <c r="F22" i="3"/>
  <c r="G21" i="3"/>
  <c r="F21" i="3"/>
  <c r="G20" i="3"/>
  <c r="F20" i="3"/>
  <c r="G17" i="3"/>
  <c r="E17" i="3"/>
  <c r="D17" i="3"/>
  <c r="F17" i="3" s="1"/>
  <c r="C17" i="3"/>
  <c r="G16" i="3"/>
  <c r="F16" i="3"/>
  <c r="G15" i="3"/>
  <c r="F15" i="3"/>
  <c r="G14" i="3"/>
  <c r="F14" i="3"/>
  <c r="C11" i="3"/>
  <c r="G10" i="3"/>
  <c r="F10" i="3"/>
  <c r="E9" i="3"/>
  <c r="D9" i="3"/>
  <c r="F9" i="3" s="1"/>
  <c r="C9" i="3"/>
  <c r="G8" i="3"/>
  <c r="F8" i="3"/>
  <c r="G7" i="3"/>
  <c r="F7" i="3"/>
  <c r="E37" i="2"/>
  <c r="D37" i="2"/>
  <c r="G27" i="2"/>
  <c r="F27" i="2"/>
  <c r="G25" i="2"/>
  <c r="F25" i="2"/>
  <c r="G23" i="2"/>
  <c r="F23" i="2"/>
  <c r="G20" i="2"/>
  <c r="F20" i="2"/>
  <c r="E20" i="2"/>
  <c r="D20" i="2"/>
  <c r="C20" i="2"/>
  <c r="G19" i="2"/>
  <c r="F19" i="2"/>
  <c r="G18" i="2"/>
  <c r="F18" i="2"/>
  <c r="E14" i="2"/>
  <c r="E15" i="2" s="1"/>
  <c r="D14" i="2"/>
  <c r="D15" i="2" s="1"/>
  <c r="C14" i="2"/>
  <c r="C15" i="2" s="1"/>
  <c r="C22" i="2" s="1"/>
  <c r="G13" i="2"/>
  <c r="F13" i="2"/>
  <c r="G12" i="2"/>
  <c r="F12" i="2"/>
  <c r="G11" i="2"/>
  <c r="F11" i="2"/>
  <c r="G8" i="2"/>
  <c r="F8" i="2"/>
  <c r="E8" i="2"/>
  <c r="D8" i="2"/>
  <c r="C8" i="2"/>
  <c r="G7" i="2"/>
  <c r="F7" i="2"/>
  <c r="G6" i="2"/>
  <c r="F6" i="2"/>
  <c r="C46" i="3" l="1"/>
  <c r="D48" i="7" s="1"/>
  <c r="D67" i="7"/>
  <c r="D39" i="7"/>
  <c r="C23" i="5"/>
  <c r="F26" i="4"/>
  <c r="F4" i="6"/>
  <c r="C7" i="5"/>
  <c r="C32" i="2"/>
  <c r="C24" i="2"/>
  <c r="C20" i="5"/>
  <c r="E6" i="5"/>
  <c r="D17" i="7"/>
  <c r="E22" i="2"/>
  <c r="D14" i="7"/>
  <c r="D32" i="7"/>
  <c r="E31" i="2"/>
  <c r="G31" i="2" s="1"/>
  <c r="G15" i="2"/>
  <c r="G9" i="3"/>
  <c r="D69" i="7"/>
  <c r="D41" i="7"/>
  <c r="G44" i="3"/>
  <c r="F30" i="4"/>
  <c r="E17" i="5"/>
  <c r="F17" i="5" s="1"/>
  <c r="E23" i="5"/>
  <c r="F23" i="5" s="1"/>
  <c r="D30" i="7"/>
  <c r="C31" i="2"/>
  <c r="C6" i="5"/>
  <c r="E26" i="4"/>
  <c r="G26" i="4" s="1"/>
  <c r="D31" i="2"/>
  <c r="F31" i="2" s="1"/>
  <c r="D6" i="5"/>
  <c r="D16" i="7"/>
  <c r="D22" i="2"/>
  <c r="E4" i="6"/>
  <c r="C19" i="5"/>
  <c r="G23" i="3"/>
  <c r="D58" i="7"/>
  <c r="E31" i="4"/>
  <c r="D15" i="5"/>
  <c r="D28" i="5"/>
  <c r="F14" i="2"/>
  <c r="D11" i="3"/>
  <c r="D12" i="7"/>
  <c r="D31" i="7"/>
  <c r="D45" i="7"/>
  <c r="G14" i="2"/>
  <c r="E11" i="3"/>
  <c r="D72" i="7"/>
  <c r="C29" i="4"/>
  <c r="C31" i="4" s="1"/>
  <c r="C27" i="5"/>
  <c r="F24" i="4"/>
  <c r="D13" i="7"/>
  <c r="C26" i="3"/>
  <c r="D52" i="7"/>
  <c r="F15" i="2"/>
  <c r="E25" i="3"/>
  <c r="D68" i="7"/>
  <c r="D40" i="7"/>
  <c r="F44" i="3"/>
  <c r="F27" i="5"/>
  <c r="D23" i="5"/>
  <c r="D15" i="7"/>
  <c r="D25" i="3"/>
  <c r="C16" i="5"/>
  <c r="D16" i="5"/>
  <c r="D27" i="5"/>
  <c r="F11" i="4"/>
  <c r="E16" i="5"/>
  <c r="D19" i="5" l="1"/>
  <c r="D46" i="7"/>
  <c r="E5" i="6"/>
  <c r="D53" i="7"/>
  <c r="D26" i="3"/>
  <c r="F11" i="3"/>
  <c r="G25" i="3"/>
  <c r="D44" i="7"/>
  <c r="F22" i="2"/>
  <c r="F5" i="6"/>
  <c r="D7" i="5"/>
  <c r="D32" i="2"/>
  <c r="F32" i="2" s="1"/>
  <c r="D24" i="2"/>
  <c r="D20" i="5"/>
  <c r="F29" i="4"/>
  <c r="F25" i="3"/>
  <c r="D43" i="7"/>
  <c r="E19" i="5"/>
  <c r="F19" i="5" s="1"/>
  <c r="D47" i="7"/>
  <c r="G11" i="3"/>
  <c r="E6" i="6"/>
  <c r="D54" i="7"/>
  <c r="E26" i="3"/>
  <c r="F16" i="5"/>
  <c r="E32" i="2"/>
  <c r="G32" i="2" s="1"/>
  <c r="E24" i="2"/>
  <c r="F6" i="6"/>
  <c r="E20" i="5"/>
  <c r="F20" i="5" s="1"/>
  <c r="G22" i="2"/>
  <c r="E7" i="5"/>
  <c r="F7" i="5" s="1"/>
  <c r="F6" i="5"/>
  <c r="D76" i="7"/>
  <c r="C28" i="5"/>
  <c r="D19" i="7"/>
  <c r="C21" i="5"/>
  <c r="C13" i="5"/>
  <c r="C8" i="5"/>
  <c r="D22" i="7"/>
  <c r="C26" i="2"/>
  <c r="C28" i="2" s="1"/>
  <c r="C33" i="2"/>
  <c r="D78" i="7"/>
  <c r="G31" i="4"/>
  <c r="E28" i="5"/>
  <c r="F31" i="4"/>
  <c r="G26" i="3" l="1"/>
  <c r="E46" i="3"/>
  <c r="D50" i="7" s="1"/>
  <c r="D20" i="7"/>
  <c r="D21" i="5"/>
  <c r="D13" i="5"/>
  <c r="D8" i="5"/>
  <c r="F24" i="2"/>
  <c r="D26" i="2"/>
  <c r="D23" i="7"/>
  <c r="D33" i="2"/>
  <c r="F33" i="2" s="1"/>
  <c r="F26" i="3"/>
  <c r="D46" i="3"/>
  <c r="D49" i="7" s="1"/>
  <c r="E21" i="5"/>
  <c r="F21" i="5" s="1"/>
  <c r="E13" i="5"/>
  <c r="F13" i="5" s="1"/>
  <c r="E8" i="5"/>
  <c r="F8" i="5" s="1"/>
  <c r="G24" i="2"/>
  <c r="E33" i="2"/>
  <c r="E26" i="2"/>
  <c r="D24" i="7"/>
  <c r="D21" i="7"/>
  <c r="D60" i="7"/>
  <c r="D4" i="6"/>
  <c r="C4" i="6"/>
  <c r="D25" i="7"/>
  <c r="C11" i="5"/>
  <c r="C34" i="2"/>
  <c r="C12" i="5"/>
  <c r="D64" i="7"/>
  <c r="C9" i="5"/>
  <c r="F28" i="5"/>
  <c r="G26" i="2" l="1"/>
  <c r="E28" i="2"/>
  <c r="F26" i="2"/>
  <c r="D28" i="2"/>
  <c r="G33" i="2"/>
  <c r="D26" i="7" l="1"/>
  <c r="D11" i="5"/>
  <c r="D34" i="2"/>
  <c r="F34" i="2" s="1"/>
  <c r="E38" i="2"/>
  <c r="D12" i="5"/>
  <c r="D65" i="7"/>
  <c r="F28" i="2"/>
  <c r="D9" i="5"/>
  <c r="C5" i="6"/>
  <c r="D5" i="6"/>
  <c r="D61" i="7"/>
  <c r="D38" i="2"/>
  <c r="C6" i="6"/>
  <c r="D27" i="7"/>
  <c r="E11" i="5"/>
  <c r="F11" i="5" s="1"/>
  <c r="E34" i="2"/>
  <c r="G34" i="2" s="1"/>
  <c r="D66" i="7"/>
  <c r="G28" i="2"/>
  <c r="D6" i="6"/>
  <c r="E9" i="5"/>
  <c r="F9" i="5" s="1"/>
  <c r="D62" i="7"/>
  <c r="E12" i="5"/>
  <c r="F12" i="5" s="1"/>
</calcChain>
</file>

<file path=xl/sharedStrings.xml><?xml version="1.0" encoding="utf-8"?>
<sst xmlns="http://schemas.openxmlformats.org/spreadsheetml/2006/main" count="389" uniqueCount="323">
  <si>
    <t>TATA MOTORS LIMITED</t>
  </si>
  <si>
    <t>Financial Performance Analysis  |  FY 2022-23 to FY 2024-25</t>
  </si>
  <si>
    <t>Prepared By:</t>
  </si>
  <si>
    <t>Shradha Pandey</t>
  </si>
  <si>
    <t>Role:</t>
  </si>
  <si>
    <t>Financial Analyst Intern</t>
  </si>
  <si>
    <t>Company:</t>
  </si>
  <si>
    <t>Tata Motors Ltd  (NSE: TATAMOTORS)</t>
  </si>
  <si>
    <t>Period:</t>
  </si>
  <si>
    <t>FY 2022-23  |  FY 2023-24  |  FY 2024-25</t>
  </si>
  <si>
    <t>Currency:</t>
  </si>
  <si>
    <t>Indian Rupees (₹ Crores)</t>
  </si>
  <si>
    <t>Source:</t>
  </si>
  <si>
    <t>Tata Motors Annual Reports / BSE Filings</t>
  </si>
  <si>
    <t>TABLE OF CONTENTS</t>
  </si>
  <si>
    <t xml:space="preserve">  1.  Income Statement</t>
  </si>
  <si>
    <t>→ P&amp;L</t>
  </si>
  <si>
    <t xml:space="preserve">  2.  Balance Sheet</t>
  </si>
  <si>
    <t>→ Balance Sheet</t>
  </si>
  <si>
    <t xml:space="preserve">  3.  Cash Flow Statement</t>
  </si>
  <si>
    <t>→ Cash Flow</t>
  </si>
  <si>
    <t xml:space="preserve">  4.  Financial Ratios &amp; KPIs</t>
  </si>
  <si>
    <t>→ Ratios &amp; KPIs</t>
  </si>
  <si>
    <t xml:space="preserve">  5.  Charts &amp; Visualizations</t>
  </si>
  <si>
    <t>→ Charts</t>
  </si>
  <si>
    <t xml:space="preserve">  6.  Assignment Answers</t>
  </si>
  <si>
    <t>→ Answers</t>
  </si>
  <si>
    <t>TATA MOTORS LIMITED — CONSOLIDATED INCOME STATEMENT (₹ Crores)</t>
  </si>
  <si>
    <t>Source: Tata Motors Annual Reports FY23, FY24, FY25  |  Blue = Input  |  Black = Formula</t>
  </si>
  <si>
    <t>Particulars</t>
  </si>
  <si>
    <t>FY 2022-23</t>
  </si>
  <si>
    <t>FY 2023-24</t>
  </si>
  <si>
    <t>FY 2024-25</t>
  </si>
  <si>
    <t>YoY Δ FY24 vs FY23</t>
  </si>
  <si>
    <t>YoY Δ FY25 vs FY24</t>
  </si>
  <si>
    <t xml:space="preserve">  I.  REVENUE</t>
  </si>
  <si>
    <t xml:space="preserve">  REVENUE</t>
  </si>
  <si>
    <t>Revenue from Operations (Net Sales)</t>
  </si>
  <si>
    <t>Other Income</t>
  </si>
  <si>
    <t>TOTAL REVENUE</t>
  </si>
  <si>
    <t xml:space="preserve">  COST OF GOODS SOLD (COGS)</t>
  </si>
  <si>
    <t>Cost of Materials &amp; Components</t>
  </si>
  <si>
    <t>Purchase of Stock-in-Trade</t>
  </si>
  <si>
    <t>Changes in Inventories</t>
  </si>
  <si>
    <t>TOTAL COGS</t>
  </si>
  <si>
    <t>GROSS PROFIT</t>
  </si>
  <si>
    <t xml:space="preserve">  OPERATING EXPENSES</t>
  </si>
  <si>
    <t>Employee Benefits Expense</t>
  </si>
  <si>
    <t>Other Expenses</t>
  </si>
  <si>
    <t>TOTAL OPERATING EXPENSES</t>
  </si>
  <si>
    <t>EBITDA</t>
  </si>
  <si>
    <t>Depreciation &amp; Amortisation</t>
  </si>
  <si>
    <t>EBIT / Operating Profit</t>
  </si>
  <si>
    <t>Finance Costs (Interest)</t>
  </si>
  <si>
    <t>Profit Before Tax (PBT)</t>
  </si>
  <si>
    <t>Tax Expense</t>
  </si>
  <si>
    <t>NET PROFIT / (LOSS) AFTER TAX</t>
  </si>
  <si>
    <t xml:space="preserve">  KEY MARGINS (%)</t>
  </si>
  <si>
    <t>Gross Profit Margin %</t>
  </si>
  <si>
    <t>EBITDA Margin %</t>
  </si>
  <si>
    <t>EBIT (Operating) Margin %</t>
  </si>
  <si>
    <t>Net Profit Margin %</t>
  </si>
  <si>
    <t xml:space="preserve">  YoY GROWTH</t>
  </si>
  <si>
    <t>Revenue Growth %</t>
  </si>
  <si>
    <t>N/A (Base Year)</t>
  </si>
  <si>
    <t>Net Profit Growth %</t>
  </si>
  <si>
    <t>TATA MOTORS LIMITED — CONSOLIDATED BALANCE SHEET (₹ Crores)</t>
  </si>
  <si>
    <t>Source: Tata Motors Annual Reports  |  Blue = Input  |  Black = Formula</t>
  </si>
  <si>
    <t>YoY Δ FY24</t>
  </si>
  <si>
    <t>YoY Δ FY25</t>
  </si>
  <si>
    <t xml:space="preserve">  EQUITY &amp; LIABILITIES</t>
  </si>
  <si>
    <t xml:space="preserve">      SHAREHOLDERS' EQUITY</t>
  </si>
  <si>
    <t>Equity Share Capital</t>
  </si>
  <si>
    <t>Other Equity (Reserves &amp; Surplus)</t>
  </si>
  <si>
    <t>TOTAL SHAREHOLDERS' EQUITY</t>
  </si>
  <si>
    <t>Non-Controlling Interest</t>
  </si>
  <si>
    <t>TOTAL EQUITY</t>
  </si>
  <si>
    <t xml:space="preserve">      NON-CURRENT LIABILITIES</t>
  </si>
  <si>
    <t>Long-term Borrowings</t>
  </si>
  <si>
    <t>Deferred Tax Liabilities (Net)</t>
  </si>
  <si>
    <t>Other Non-Current Liabilities</t>
  </si>
  <si>
    <t>TOTAL NON-CURRENT LIABILITIES</t>
  </si>
  <si>
    <t xml:space="preserve">      CURRENT LIABILITIES</t>
  </si>
  <si>
    <t>Short-term Borrowings</t>
  </si>
  <si>
    <t>Trade Payables</t>
  </si>
  <si>
    <t>Other Current Liabilities</t>
  </si>
  <si>
    <t>TOTAL CURRENT LIABILITIES</t>
  </si>
  <si>
    <t>TOTAL LIABILITIES</t>
  </si>
  <si>
    <t>TOTAL EQUITY &amp; LIABILITIES</t>
  </si>
  <si>
    <t xml:space="preserve">  ASSETS</t>
  </si>
  <si>
    <t xml:space="preserve">      NON-CURRENT ASSETS</t>
  </si>
  <si>
    <t>Property, Plant &amp; Equipment (Net)</t>
  </si>
  <si>
    <t>Right of Use Assets</t>
  </si>
  <si>
    <t>Intangible Assets &amp; Goodwill</t>
  </si>
  <si>
    <t>Long-term Investments</t>
  </si>
  <si>
    <t>Other Non-Current Assets</t>
  </si>
  <si>
    <t>TOTAL NON-CURRENT ASSETS</t>
  </si>
  <si>
    <t xml:space="preserve">      CURRENT ASSETS</t>
  </si>
  <si>
    <t>Inventories</t>
  </si>
  <si>
    <t>Trade Receivables</t>
  </si>
  <si>
    <t>Cash &amp; Cash Equivalents</t>
  </si>
  <si>
    <t>Other Current Assets</t>
  </si>
  <si>
    <t>TOTAL CURRENT ASSETS</t>
  </si>
  <si>
    <t>TOTAL ASSETS</t>
  </si>
  <si>
    <t>BALANCE CHECK (Assets = Eq+Liab?)</t>
  </si>
  <si>
    <t>TATA MOTORS LIMITED — CONSOLIDATED CASH FLOW STATEMENT (₹ Crores)</t>
  </si>
  <si>
    <t xml:space="preserve">  OPERATING ACTIVITIES</t>
  </si>
  <si>
    <t>Net Profit / (Loss) Before Tax</t>
  </si>
  <si>
    <t>Depreciation &amp; Amortisation (Add Back)</t>
  </si>
  <si>
    <t>Finance Costs (Add Back)</t>
  </si>
  <si>
    <t>Changes in Working Capital</t>
  </si>
  <si>
    <t>Other Adjustments</t>
  </si>
  <si>
    <t>NET CASH FROM OPERATING ACTIVITIES</t>
  </si>
  <si>
    <t xml:space="preserve">  INVESTING ACTIVITIES</t>
  </si>
  <si>
    <t>Purchase of Property, Plant &amp; Equipment</t>
  </si>
  <si>
    <t>Investments Made</t>
  </si>
  <si>
    <t>Proceeds from Sale of Assets</t>
  </si>
  <si>
    <t>NET CASH USED IN INVESTING ACTIVITIES</t>
  </si>
  <si>
    <t xml:space="preserve">  FINANCING ACTIVITIES</t>
  </si>
  <si>
    <t>Proceeds from Long-term Borrowings</t>
  </si>
  <si>
    <t>Repayment of Long-term Borrowings</t>
  </si>
  <si>
    <t>Finance Costs Paid</t>
  </si>
  <si>
    <t>Dividends Paid</t>
  </si>
  <si>
    <t>NET CASH FROM FINANCING ACTIVITIES</t>
  </si>
  <si>
    <t>NET CHANGE IN CASH</t>
  </si>
  <si>
    <t xml:space="preserve">  FREE CASH FLOW ANALYSIS</t>
  </si>
  <si>
    <t>Cash from Operations</t>
  </si>
  <si>
    <t>Less: Capital Expenditure</t>
  </si>
  <si>
    <t>FREE CASH FLOW</t>
  </si>
  <si>
    <t>TATA MOTORS LIMITED — FINANCIAL RATIOS &amp; KPI DASHBOARD</t>
  </si>
  <si>
    <t>All ratios calculated via Excel formulas referencing P&amp;L and Balance Sheet sheets</t>
  </si>
  <si>
    <t>Ratio / KPI</t>
  </si>
  <si>
    <t>Trend</t>
  </si>
  <si>
    <t>Interpretation</t>
  </si>
  <si>
    <t xml:space="preserve">  PROFITABILITY RATIOS</t>
  </si>
  <si>
    <t>↑ Improving = better cost control</t>
  </si>
  <si>
    <t>↑ Higher EBITDA → stronger ops</t>
  </si>
  <si>
    <t>Target: &gt;5% for auto OEMs</t>
  </si>
  <si>
    <t>JLR turnaround drives NP surge</t>
  </si>
  <si>
    <t xml:space="preserve">  RETURN RATIOS</t>
  </si>
  <si>
    <t>Return on Equity (ROE) %</t>
  </si>
  <si>
    <t>Higher ROE = better for shareholders</t>
  </si>
  <si>
    <t>Return on Assets (ROA) %</t>
  </si>
  <si>
    <t>Measures asset utilisation</t>
  </si>
  <si>
    <t>Return on Capital Employed %</t>
  </si>
  <si>
    <t>ROCE &gt;WACC = value creation</t>
  </si>
  <si>
    <t xml:space="preserve">  LIQUIDITY RATIOS</t>
  </si>
  <si>
    <t>Current Ratio (x)</t>
  </si>
  <si>
    <t>Ideal: 1.5x-2.0x; &gt;1 = safe</t>
  </si>
  <si>
    <t>Quick Ratio (x)</t>
  </si>
  <si>
    <t>Excludes inventory; stricter test</t>
  </si>
  <si>
    <t>Cash Ratio (x)</t>
  </si>
  <si>
    <t>Cash available per ₹1 of current debt</t>
  </si>
  <si>
    <t xml:space="preserve">  SOLVENCY &amp; LEVERAGE RATIOS</t>
  </si>
  <si>
    <t>Debt-to-Equity (x)</t>
  </si>
  <si>
    <t>↓ Declining = deleveraging</t>
  </si>
  <si>
    <t>Debt-to-EBITDA (x)</t>
  </si>
  <si>
    <t>&lt;3x = comfortable; &gt;5x = risky</t>
  </si>
  <si>
    <t>Interest Coverage (x)</t>
  </si>
  <si>
    <t>&gt;2.5x = healthy; &lt;1x = distress</t>
  </si>
  <si>
    <t xml:space="preserve">  EFFICIENCY RATIOS</t>
  </si>
  <si>
    <t>Asset Turnover (x)</t>
  </si>
  <si>
    <t>Higher = better asset utilisation</t>
  </si>
  <si>
    <t>Inventory Turnover (x)</t>
  </si>
  <si>
    <t>Higher = faster inventory cycle</t>
  </si>
  <si>
    <t>Receivables Turnover (x)</t>
  </si>
  <si>
    <t>Higher = faster collections</t>
  </si>
  <si>
    <t xml:space="preserve">  CASH FLOW RATIOS</t>
  </si>
  <si>
    <t>Operating CF Margin %</t>
  </si>
  <si>
    <t>Cash quality of earnings</t>
  </si>
  <si>
    <t>Free Cash Flow (₹ Cr)</t>
  </si>
  <si>
    <t>Positive FCF = self-funding growth</t>
  </si>
  <si>
    <t>TATA MOTORS — FINANCIAL CHARTS &amp; VISUALIZATIONS</t>
  </si>
  <si>
    <t>Year</t>
  </si>
  <si>
    <t>Revenue (₹ Cr)</t>
  </si>
  <si>
    <t>Net Profit (₹ Cr)</t>
  </si>
  <si>
    <t>Net Margin %</t>
  </si>
  <si>
    <t>D/E Ratio</t>
  </si>
  <si>
    <t>TATA MOTORS — ASSIGNMENT ANSWERS  |  Shradha Pandey</t>
  </si>
  <si>
    <t>All numerical answers reference live formulas from P&amp;L, Balance Sheet, Cash Flow, and Ratios sheets</t>
  </si>
  <si>
    <t>Q#</t>
  </si>
  <si>
    <t>Question</t>
  </si>
  <si>
    <t>Answer / Formula Reference</t>
  </si>
  <si>
    <t>SECTION A: REVENUE ANALYSIS</t>
  </si>
  <si>
    <t>Q1</t>
  </si>
  <si>
    <t>Total Revenue FY23</t>
  </si>
  <si>
    <t>Total Revenue FY24</t>
  </si>
  <si>
    <t>Total Revenue FY25</t>
  </si>
  <si>
    <t>Q2</t>
  </si>
  <si>
    <t>YoY Revenue Growth FY24 vs FY23</t>
  </si>
  <si>
    <t>YoY Revenue Growth FY25 vs FY24</t>
  </si>
  <si>
    <t>Q3</t>
  </si>
  <si>
    <t>Revenue Trend Analysis</t>
  </si>
  <si>
    <t>Revenue grew strongly in FY24 (+26.2%) driven by JLR recovery and India CV/PV demand. FY25 growth moderated (~0.4%), indicating stabilisation at a higher base. This signals a maturing growth phase — quality of earnings now matters more than top-line growth.</t>
  </si>
  <si>
    <t>SECTION B: PROFITABILITY</t>
  </si>
  <si>
    <t>Q4</t>
  </si>
  <si>
    <t>Gross Profit FY23</t>
  </si>
  <si>
    <t>Gross Profit FY24</t>
  </si>
  <si>
    <t>Gross Profit FY25</t>
  </si>
  <si>
    <t>Q5</t>
  </si>
  <si>
    <t>Gross Margin % FY23</t>
  </si>
  <si>
    <t>Gross Margin % FY24</t>
  </si>
  <si>
    <t>Gross Margin % FY25</t>
  </si>
  <si>
    <t>Q6</t>
  </si>
  <si>
    <t>Gross Margin Trend</t>
  </si>
  <si>
    <t>Gross margin improved from ~34% → ~38% → ~41%, driven by JLR's shift to high-margin vehicles (Range Rover, Defender), better pricing power, and easing semiconductor/commodity costs.</t>
  </si>
  <si>
    <t>Q7</t>
  </si>
  <si>
    <t>EBIT FY23</t>
  </si>
  <si>
    <t>EBIT FY24</t>
  </si>
  <si>
    <t>EBIT FY25</t>
  </si>
  <si>
    <t>Q8</t>
  </si>
  <si>
    <t>EBIT Margin % FY23</t>
  </si>
  <si>
    <t>EBIT Margin % FY24</t>
  </si>
  <si>
    <t>EBIT Margin % FY25</t>
  </si>
  <si>
    <t>Q9</t>
  </si>
  <si>
    <t>Net Margin % FY23</t>
  </si>
  <si>
    <t>Net Margin % FY24</t>
  </si>
  <si>
    <t>Net Margin % FY25</t>
  </si>
  <si>
    <t>Q10</t>
  </si>
  <si>
    <t>Which margin improved most?</t>
  </si>
  <si>
    <t>Net Profit Margin improved the most — from negative in FY23 (loss-making) to strongly positive by FY25. This indicates that below-the-line improvements (debt reduction, lower interest cost, JLR turnaround) had the biggest impact.</t>
  </si>
  <si>
    <t>SECTION C: EXPENSE ANALYSIS</t>
  </si>
  <si>
    <t>Q11</t>
  </si>
  <si>
    <t>Opex % of Revenue FY23</t>
  </si>
  <si>
    <t>Opex % of Revenue FY24</t>
  </si>
  <si>
    <t>Opex % of Revenue FY25</t>
  </si>
  <si>
    <t>Q12</t>
  </si>
  <si>
    <t>Expense Efficiency</t>
  </si>
  <si>
    <t>Operating expense ratio is declining year-on-year, confirming improving operational efficiency. Tata Motors has successfully leveraged JLR's fixed cost base over higher revenues — a classic operating leverage story.</t>
  </si>
  <si>
    <t>Q13</t>
  </si>
  <si>
    <t>Interest Expense FY23</t>
  </si>
  <si>
    <t>Interest Expense FY24</t>
  </si>
  <si>
    <t>Interest Expense FY25</t>
  </si>
  <si>
    <t>Q14</t>
  </si>
  <si>
    <t>Interest Expense Trend</t>
  </si>
  <si>
    <t>Interest/Finance costs declined from ₹13,914 Cr → ₹12,625 Cr → ₹11,842 Cr, reflecting active deleveraging. JLR repaid significant debt using its record operating cash flows. Lower interest burden is a key driver of net profit expansion.</t>
  </si>
  <si>
    <t>SECTION D: BALANCE SHEET</t>
  </si>
  <si>
    <t>Q15</t>
  </si>
  <si>
    <t>Total Assets FY23</t>
  </si>
  <si>
    <t>Total Assets FY24</t>
  </si>
  <si>
    <t>Total Assets FY25</t>
  </si>
  <si>
    <t>Q16</t>
  </si>
  <si>
    <t>Total Liabilities FY23</t>
  </si>
  <si>
    <t>Total Liabilities FY24</t>
  </si>
  <si>
    <t>Total Liabilities FY25</t>
  </si>
  <si>
    <t>Q17</t>
  </si>
  <si>
    <t>Total Equity FY23</t>
  </si>
  <si>
    <t>Total Equity FY24</t>
  </si>
  <si>
    <t>Total Equity FY25</t>
  </si>
  <si>
    <t>Q18</t>
  </si>
  <si>
    <t>Balance Check FY23</t>
  </si>
  <si>
    <t>Balance Check FY24</t>
  </si>
  <si>
    <t>Balance Check FY25</t>
  </si>
  <si>
    <t>SECTION E: FINANCIAL RATIOS</t>
  </si>
  <si>
    <t>Q19</t>
  </si>
  <si>
    <t>D/E Ratio FY23</t>
  </si>
  <si>
    <t>D/E Ratio FY24</t>
  </si>
  <si>
    <t>D/E Ratio FY25</t>
  </si>
  <si>
    <t>Q20</t>
  </si>
  <si>
    <t>Leverage Trend</t>
  </si>
  <si>
    <t>Debt-to-Equity ratio has fallen sharply as equity expanded (from retained profits) and debt was repaid. This is a POSITIVE development — reduces financial risk and improves credit rating prospects.</t>
  </si>
  <si>
    <t>Q21</t>
  </si>
  <si>
    <t>Current Ratio FY23</t>
  </si>
  <si>
    <t>Current Ratio FY24</t>
  </si>
  <si>
    <t>Current Ratio FY25</t>
  </si>
  <si>
    <t>Q22</t>
  </si>
  <si>
    <t>Liquidity Trend</t>
  </si>
  <si>
    <t>Current ratio has remained broadly stable above 1.0x, indicating adequate short-term liquidity. The improvement in cash balances further supports this.</t>
  </si>
  <si>
    <t>Q23</t>
  </si>
  <si>
    <t>ROE % FY23</t>
  </si>
  <si>
    <t>ROE % FY24</t>
  </si>
  <si>
    <t>ROE % FY25</t>
  </si>
  <si>
    <t>Q24</t>
  </si>
  <si>
    <t>ROE Interpretation</t>
  </si>
  <si>
    <t>ROE improved dramatically — from negative to strongly positive. This is exceptional for shareholders, reflecting the massive earnings turnaround driven by JLR, India EV ramp-up, and cost discipline.</t>
  </si>
  <si>
    <t>Q25</t>
  </si>
  <si>
    <t>ROA % FY23</t>
  </si>
  <si>
    <t>ROA % FY24</t>
  </si>
  <si>
    <t>ROA % FY25</t>
  </si>
  <si>
    <t>Q26</t>
  </si>
  <si>
    <t>Asset Turnover FY23</t>
  </si>
  <si>
    <t>Asset Turnover FY24</t>
  </si>
  <si>
    <t>Asset Turnover FY25</t>
  </si>
  <si>
    <t>Q27</t>
  </si>
  <si>
    <t>Asset Efficiency</t>
  </si>
  <si>
    <t>Asset turnover improved slightly, showing better utilisation of the existing asset base as revenues grew faster than asset additions.</t>
  </si>
  <si>
    <t>SECTION F: CASH FLOW</t>
  </si>
  <si>
    <t>Q28</t>
  </si>
  <si>
    <t>Operating CF FY23</t>
  </si>
  <si>
    <t>Operating CF FY24</t>
  </si>
  <si>
    <t>Operating CF FY25</t>
  </si>
  <si>
    <t>Q29</t>
  </si>
  <si>
    <t>Operating CF Trend</t>
  </si>
  <si>
    <t>Cash from operations turned strongly positive and is growing — from low/negative in FY23 to robust in FY25. This confirms real business quality as profits are being converted to actual cash.</t>
  </si>
  <si>
    <t>Q30</t>
  </si>
  <si>
    <t>Free Cash Flow FY23</t>
  </si>
  <si>
    <t>Free Cash Flow FY24</t>
  </si>
  <si>
    <t>Free Cash Flow FY25</t>
  </si>
  <si>
    <t>SECTION G: OVERALL INSIGHTS</t>
  </si>
  <si>
    <t>Q31</t>
  </si>
  <si>
    <t>Strength 1</t>
  </si>
  <si>
    <t>JLR Turnaround: Jaguar Land Rover returned to record profitability, driving Tata Motors' consolidated earnings. High-margin luxury vehicles (Defender, Range Rover) boosted gross margins significantly.</t>
  </si>
  <si>
    <t>Strength 2</t>
  </si>
  <si>
    <t>Deleveraging Success: Significant debt reduction over 3 years (total borrowings fell by ~₹40,000 Cr) → lower interest burden, improved credit profile, and rising equity base.</t>
  </si>
  <si>
    <t>Strength 3</t>
  </si>
  <si>
    <t>India EV Leadership: Tata Motors holds ~70% of India's EV market share (Nexon EV, Punch EV). Early mover advantage in the fastest-growing automotive segment positions it well for the next decade.</t>
  </si>
  <si>
    <t>Q32</t>
  </si>
  <si>
    <t>Concern 1</t>
  </si>
  <si>
    <t>High Debt Levels (Absolute): Despite deleveraging, absolute debt remains large (~₹93,000+ Cr). Any downturn in JLR demand could strain debt service obligations.</t>
  </si>
  <si>
    <t>Concern 2</t>
  </si>
  <si>
    <t>Revenue Concentration: ~75% of revenue comes from JLR (UK/global). This makes Tata Motors sensitive to FX risk (GBP/USD/EUR), geopolitical events, and UK economic conditions.</t>
  </si>
  <si>
    <t>Concern 3</t>
  </si>
  <si>
    <t>EV Profitability Gap: India EV segment still generates thinner margins vs ICE vehicles. Tata Motors will need to manage the margin compression as EV mix rises while simultaneously investing heavily in EV capex.</t>
  </si>
  <si>
    <t>Q33</t>
  </si>
  <si>
    <t>3-Year Summary</t>
  </si>
  <si>
    <t>Financial health is clearly IMPROVING. Revenue grew 26%+ over 3 years. Net profit swung from a deep loss (FY23) to record profitability (FY25). D/E fell by ~60%. Operating cash flows are robust and FCF is positive. The transformation is well underway.</t>
  </si>
  <si>
    <t>Q34</t>
  </si>
  <si>
    <t>Investment View</t>
  </si>
  <si>
    <t>CAUTIOUSLY POSITIVE: The turnaround story is compelling and mostly priced in. Key upside catalysts: JLR EV transition (Range Rover Electric), India EV market growth, continued deleveraging. Key risks: global macro slowdown, semiconductor supply, FX headwinds. Long-term investors with 3–5 year horizon may find value.</t>
  </si>
  <si>
    <t>Q35</t>
  </si>
  <si>
    <t>Mgmt Question</t>
  </si>
  <si>
    <t>What is the target net-debt-to-EBITDA for JLR by FY27, and what is the plan to fund India EV capex (including new Pune facility and battery plants) without significantly re-leveraging the balance sheet?</t>
  </si>
  <si>
    <t>All figures sourced from publicly available Tata Motors Annual Reports. This analysis is prepared for educational/internship purposes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</si>
</sst>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0.00\x"/>
  </numFmts>
  <fonts count="20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3"/>
      <color rgb="FFBDD7EE"/>
      <name val="Arial"/>
      <charset val="1"/>
    </font>
    <font>
      <b/>
      <sz val="11"/>
      <color rgb="FF1F3864"/>
      <name val="Arial"/>
      <charset val="1"/>
    </font>
    <font>
      <sz val="11"/>
      <color rgb="FF595959"/>
      <name val="Arial"/>
      <charset val="1"/>
    </font>
    <font>
      <b/>
      <sz val="12"/>
      <color rgb="FFFFFFFF"/>
      <name val="Arial"/>
      <charset val="1"/>
    </font>
    <font>
      <sz val="10"/>
      <color rgb="FF1F3864"/>
      <name val="Arial"/>
      <charset val="1"/>
    </font>
    <font>
      <i/>
      <sz val="10"/>
      <color rgb="FF2E75B6"/>
      <name val="Arial"/>
      <charset val="1"/>
    </font>
    <font>
      <i/>
      <sz val="9"/>
      <color rgb="FF595959"/>
      <name val="Arial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i/>
      <sz val="10"/>
      <color rgb="FF595959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2E75B6"/>
      <name val="Arial"/>
      <charset val="1"/>
    </font>
    <font>
      <sz val="10"/>
      <color rgb="FF595959"/>
      <name val="Arial"/>
      <charset val="1"/>
    </font>
    <font>
      <b/>
      <i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6" fillId="3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164" fontId="13" fillId="6" borderId="1" xfId="0" applyNumberFormat="1" applyFont="1" applyFill="1" applyBorder="1" applyAlignment="1">
      <alignment horizontal="right" vertical="center"/>
    </xf>
    <xf numFmtId="164" fontId="13" fillId="7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 wrapText="1"/>
    </xf>
    <xf numFmtId="165" fontId="11" fillId="8" borderId="1" xfId="0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7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49" fontId="13" fillId="8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165" fontId="13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165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6" fontId="13" fillId="5" borderId="1" xfId="0" applyNumberFormat="1" applyFont="1" applyFill="1" applyBorder="1" applyAlignment="1">
      <alignment horizontal="center" vertical="center" wrapText="1"/>
    </xf>
    <xf numFmtId="166" fontId="13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5" fontId="0" fillId="5" borderId="1" xfId="0" applyNumberForma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left" vertical="center" wrapText="1"/>
    </xf>
    <xf numFmtId="165" fontId="13" fillId="4" borderId="1" xfId="0" applyNumberFormat="1" applyFont="1" applyFill="1" applyBorder="1" applyAlignment="1">
      <alignment horizontal="left" vertical="center" wrapText="1"/>
    </xf>
    <xf numFmtId="165" fontId="13" fillId="5" borderId="1" xfId="0" applyNumberFormat="1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166" fontId="13" fillId="4" borderId="1" xfId="0" applyNumberFormat="1" applyFont="1" applyFill="1" applyBorder="1" applyAlignment="1">
      <alignment horizontal="left" vertical="center" wrapText="1"/>
    </xf>
    <xf numFmtId="166" fontId="13" fillId="5" borderId="1" xfId="0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9F9F9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Trend (₹ Crores)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Revenue (₹ Cr)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Charts!$A$4:$A$6</c:f>
              <c:strCache>
                <c:ptCount val="3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</c:strCache>
            </c:strRef>
          </c:cat>
          <c:val>
            <c:numRef>
              <c:f>Charts!$B$4:$B$6</c:f>
              <c:numCache>
                <c:formatCode>#,##0;\(#,##0\);\-</c:formatCode>
                <c:ptCount val="3"/>
                <c:pt idx="0">
                  <c:v>346827</c:v>
                </c:pt>
                <c:pt idx="1">
                  <c:v>437928</c:v>
                </c:pt>
                <c:pt idx="2">
                  <c:v>439695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B-4A28-A548-AD8C4CDA7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23513"/>
        <c:axId val="49186550"/>
      </c:barChart>
      <c:catAx>
        <c:axId val="56723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86550"/>
        <c:crosses val="autoZero"/>
        <c:auto val="1"/>
        <c:lblAlgn val="ctr"/>
        <c:lblOffset val="100"/>
        <c:noMultiLvlLbl val="0"/>
      </c:catAx>
      <c:valAx>
        <c:axId val="49186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7235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Profit Margin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Charts!$D$3</c:f>
              <c:strCache>
                <c:ptCount val="1"/>
                <c:pt idx="0">
                  <c:v>Net Margin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Charts!$A$4:$A$6</c:f>
              <c:strCache>
                <c:ptCount val="3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</c:strCache>
            </c:strRef>
          </c:cat>
          <c:val>
            <c:numRef>
              <c:f>Charts!$D$4:$D$6</c:f>
              <c:numCache>
                <c:formatCode>0.0%;\(0.0%\);\-</c:formatCode>
                <c:ptCount val="3"/>
                <c:pt idx="0">
                  <c:v>-4.8886044050780363E-2</c:v>
                </c:pt>
                <c:pt idx="1">
                  <c:v>2.7260188889497817E-2</c:v>
                </c:pt>
                <c:pt idx="2">
                  <c:v>3.2097249229579593E-2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CB-4487-9B2B-BAA22C9F6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25268957"/>
        <c:axId val="58063227"/>
      </c:lineChart>
      <c:catAx>
        <c:axId val="25268957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63227"/>
        <c:crosses val="autoZero"/>
        <c:auto val="1"/>
        <c:lblAlgn val="ctr"/>
        <c:lblOffset val="100"/>
        <c:noMultiLvlLbl val="0"/>
      </c:catAx>
      <c:valAx>
        <c:axId val="580632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;\(0.0%\)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89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Debt-to-Equity Ratio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D/E Ratio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Charts!$A$4:$A$6</c:f>
              <c:strCache>
                <c:ptCount val="3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</c:strCache>
            </c:strRef>
          </c:cat>
          <c:val>
            <c:numRef>
              <c:f>Charts!$E$4:$E$6</c:f>
              <c:numCache>
                <c:formatCode>0.00\x</c:formatCode>
                <c:ptCount val="3"/>
                <c:pt idx="0">
                  <c:v>5.5916881416942772</c:v>
                </c:pt>
                <c:pt idx="1">
                  <c:v>2.0472233710568859</c:v>
                </c:pt>
                <c:pt idx="2">
                  <c:v>1.189297216105093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E-4BAC-84A3-B35D9D07F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083813"/>
        <c:axId val="49377324"/>
      </c:barChart>
      <c:catAx>
        <c:axId val="670838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Financial 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377324"/>
        <c:crosses val="autoZero"/>
        <c:auto val="1"/>
        <c:lblAlgn val="ctr"/>
        <c:lblOffset val="100"/>
        <c:noMultiLvlLbl val="0"/>
      </c:catAx>
      <c:valAx>
        <c:axId val="493773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Times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0838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Margin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Charts!$F$3</c:f>
              <c:strCache>
                <c:ptCount val="1"/>
                <c:pt idx="0">
                  <c:v>EBITDA Margin %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Charts!$A$4:$A$6</c:f>
              <c:strCache>
                <c:ptCount val="3"/>
                <c:pt idx="0">
                  <c:v>FY 2022-23</c:v>
                </c:pt>
                <c:pt idx="1">
                  <c:v>FY 2023-24</c:v>
                </c:pt>
                <c:pt idx="2">
                  <c:v>FY 2024-25</c:v>
                </c:pt>
              </c:strCache>
            </c:strRef>
          </c:cat>
          <c:val>
            <c:numRef>
              <c:f>Charts!$F$4:$F$6</c:f>
              <c:numCache>
                <c:formatCode>0.0%;\(0.0%\);\-</c:formatCode>
                <c:ptCount val="3"/>
                <c:pt idx="0">
                  <c:v>7.6202256456388923E-2</c:v>
                </c:pt>
                <c:pt idx="1">
                  <c:v>0.13934710728704261</c:v>
                </c:pt>
                <c:pt idx="2">
                  <c:v>0.14720431207996451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CA-4FA4-AF92-211C39205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14059308"/>
        <c:axId val="16084849"/>
      </c:lineChart>
      <c:catAx>
        <c:axId val="14059308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Financial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4849"/>
        <c:crosses val="autoZero"/>
        <c:auto val="1"/>
        <c:lblAlgn val="ctr"/>
        <c:lblOffset val="100"/>
        <c:noMultiLvlLbl val="0"/>
      </c:catAx>
      <c:valAx>
        <c:axId val="160848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EBITDA Margin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;\(0.0%\);\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3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7</xdr:col>
      <xdr:colOff>213360</xdr:colOff>
      <xdr:row>20</xdr:row>
      <xdr:rowOff>113040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365760</xdr:colOff>
      <xdr:row>1</xdr:row>
      <xdr:rowOff>152400</xdr:rowOff>
    </xdr:from>
    <xdr:to>
      <xdr:col>14</xdr:col>
      <xdr:colOff>472440</xdr:colOff>
      <xdr:row>10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76200</xdr:rowOff>
    </xdr:from>
    <xdr:to>
      <xdr:col>7</xdr:col>
      <xdr:colOff>220980</xdr:colOff>
      <xdr:row>40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411480</xdr:colOff>
      <xdr:row>11</xdr:row>
      <xdr:rowOff>137220</xdr:rowOff>
    </xdr:from>
    <xdr:to>
      <xdr:col>14</xdr:col>
      <xdr:colOff>487680</xdr:colOff>
      <xdr:row>27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39"/>
  <sheetViews>
    <sheetView topLeftCell="A16" zoomScaleNormal="100" workbookViewId="0">
      <selection activeCell="B26" sqref="B26:C27"/>
    </sheetView>
  </sheetViews>
  <sheetFormatPr defaultColWidth="8.6640625" defaultRowHeight="14.4" x14ac:dyDescent="0.3"/>
  <cols>
    <col min="1" max="1" width="5" customWidth="1"/>
    <col min="2" max="2" width="55" customWidth="1"/>
    <col min="3" max="3" width="30" customWidth="1"/>
  </cols>
  <sheetData>
    <row r="1" spans="1:3" ht="18" customHeight="1" x14ac:dyDescent="0.3">
      <c r="A1" s="10"/>
      <c r="B1" s="10"/>
      <c r="C1" s="10"/>
    </row>
    <row r="2" spans="1:3" ht="18" customHeight="1" x14ac:dyDescent="0.3">
      <c r="A2" s="10"/>
      <c r="B2" s="10"/>
      <c r="C2" s="10"/>
    </row>
    <row r="3" spans="1:3" ht="18" customHeight="1" x14ac:dyDescent="0.3">
      <c r="A3" s="10"/>
      <c r="B3" s="10"/>
      <c r="C3" s="10"/>
    </row>
    <row r="4" spans="1:3" ht="18" customHeight="1" x14ac:dyDescent="0.3">
      <c r="A4" s="10"/>
      <c r="B4" s="9" t="s">
        <v>0</v>
      </c>
      <c r="C4" s="9"/>
    </row>
    <row r="5" spans="1:3" ht="18" customHeight="1" x14ac:dyDescent="0.3">
      <c r="A5" s="10"/>
      <c r="B5" s="8" t="s">
        <v>1</v>
      </c>
      <c r="C5" s="8"/>
    </row>
    <row r="6" spans="1:3" ht="18" customHeight="1" x14ac:dyDescent="0.3">
      <c r="A6" s="10"/>
      <c r="B6" s="10"/>
      <c r="C6" s="10"/>
    </row>
    <row r="7" spans="1:3" ht="18" customHeight="1" x14ac:dyDescent="0.3"/>
    <row r="8" spans="1:3" ht="21.6" customHeight="1" x14ac:dyDescent="0.3">
      <c r="B8" s="11" t="s">
        <v>2</v>
      </c>
      <c r="C8" s="12" t="s">
        <v>3</v>
      </c>
    </row>
    <row r="9" spans="1:3" ht="21.6" customHeight="1" x14ac:dyDescent="0.3">
      <c r="B9" s="11" t="s">
        <v>4</v>
      </c>
      <c r="C9" s="12" t="s">
        <v>5</v>
      </c>
    </row>
    <row r="10" spans="1:3" ht="21.6" customHeight="1" x14ac:dyDescent="0.3">
      <c r="B10" s="11" t="s">
        <v>6</v>
      </c>
      <c r="C10" s="12" t="s">
        <v>7</v>
      </c>
    </row>
    <row r="11" spans="1:3" ht="21.6" customHeight="1" x14ac:dyDescent="0.3">
      <c r="B11" s="11" t="s">
        <v>8</v>
      </c>
      <c r="C11" s="12" t="s">
        <v>9</v>
      </c>
    </row>
    <row r="12" spans="1:3" ht="21.6" customHeight="1" x14ac:dyDescent="0.3">
      <c r="B12" s="11" t="s">
        <v>10</v>
      </c>
      <c r="C12" s="12" t="s">
        <v>11</v>
      </c>
    </row>
    <row r="13" spans="1:3" ht="21.6" customHeight="1" x14ac:dyDescent="0.3">
      <c r="B13" s="11" t="s">
        <v>12</v>
      </c>
      <c r="C13" s="12" t="s">
        <v>13</v>
      </c>
    </row>
    <row r="14" spans="1:3" ht="18" customHeight="1" x14ac:dyDescent="0.3"/>
    <row r="15" spans="1:3" ht="18" customHeight="1" x14ac:dyDescent="0.3"/>
    <row r="16" spans="1:3" ht="9.75" customHeight="1" x14ac:dyDescent="0.3"/>
    <row r="17" spans="2:3" ht="18" customHeight="1" x14ac:dyDescent="0.3">
      <c r="B17" s="7" t="s">
        <v>14</v>
      </c>
      <c r="C17" s="7"/>
    </row>
    <row r="18" spans="2:3" ht="19.5" customHeight="1" x14ac:dyDescent="0.3">
      <c r="B18" s="13" t="s">
        <v>15</v>
      </c>
      <c r="C18" s="14" t="s">
        <v>16</v>
      </c>
    </row>
    <row r="19" spans="2:3" ht="19.5" customHeight="1" x14ac:dyDescent="0.3">
      <c r="B19" s="15" t="s">
        <v>17</v>
      </c>
      <c r="C19" s="16" t="s">
        <v>18</v>
      </c>
    </row>
    <row r="20" spans="2:3" ht="19.5" customHeight="1" x14ac:dyDescent="0.3">
      <c r="B20" s="13" t="s">
        <v>19</v>
      </c>
      <c r="C20" s="14" t="s">
        <v>20</v>
      </c>
    </row>
    <row r="21" spans="2:3" ht="19.5" customHeight="1" x14ac:dyDescent="0.3">
      <c r="B21" s="15" t="s">
        <v>21</v>
      </c>
      <c r="C21" s="16" t="s">
        <v>22</v>
      </c>
    </row>
    <row r="22" spans="2:3" ht="19.5" customHeight="1" x14ac:dyDescent="0.3">
      <c r="B22" s="13" t="s">
        <v>23</v>
      </c>
      <c r="C22" s="14" t="s">
        <v>24</v>
      </c>
    </row>
    <row r="23" spans="2:3" ht="19.5" customHeight="1" x14ac:dyDescent="0.3">
      <c r="B23" s="15" t="s">
        <v>25</v>
      </c>
      <c r="C23" s="16" t="s">
        <v>26</v>
      </c>
    </row>
    <row r="24" spans="2:3" ht="18" customHeight="1" x14ac:dyDescent="0.3"/>
    <row r="25" spans="2:3" ht="18" customHeight="1" x14ac:dyDescent="0.3"/>
    <row r="26" spans="2:3" ht="18" customHeight="1" x14ac:dyDescent="0.3">
      <c r="B26" s="62" t="s">
        <v>322</v>
      </c>
      <c r="C26" s="62"/>
    </row>
    <row r="27" spans="2:3" ht="18" customHeight="1" x14ac:dyDescent="0.3">
      <c r="B27" s="62"/>
      <c r="C27" s="62"/>
    </row>
    <row r="28" spans="2:3" ht="18" customHeight="1" x14ac:dyDescent="0.3"/>
    <row r="29" spans="2:3" ht="18" customHeight="1" x14ac:dyDescent="0.3"/>
    <row r="30" spans="2:3" ht="18" customHeight="1" x14ac:dyDescent="0.3"/>
    <row r="31" spans="2:3" ht="18" customHeight="1" x14ac:dyDescent="0.3"/>
    <row r="32" spans="2:3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</sheetData>
  <mergeCells count="7">
    <mergeCell ref="B17:C17"/>
    <mergeCell ref="B26:C27"/>
    <mergeCell ref="A1:C3"/>
    <mergeCell ref="A4:A6"/>
    <mergeCell ref="B4:C4"/>
    <mergeCell ref="B5:C5"/>
    <mergeCell ref="B6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G38"/>
  <sheetViews>
    <sheetView showGridLines="0" zoomScaleNormal="100" workbookViewId="0">
      <pane xSplit="2" ySplit="3" topLeftCell="C28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3" customWidth="1"/>
    <col min="2" max="2" width="42" customWidth="1"/>
    <col min="3" max="7" width="18" customWidth="1"/>
  </cols>
  <sheetData>
    <row r="1" spans="1:7" ht="27.75" customHeight="1" x14ac:dyDescent="0.3">
      <c r="B1" s="6" t="s">
        <v>27</v>
      </c>
      <c r="C1" s="6"/>
      <c r="D1" s="6"/>
      <c r="E1" s="6"/>
      <c r="F1" s="6"/>
      <c r="G1" s="6"/>
    </row>
    <row r="2" spans="1:7" ht="15" customHeight="1" x14ac:dyDescent="0.3">
      <c r="B2" s="5" t="s">
        <v>28</v>
      </c>
      <c r="C2" s="5"/>
      <c r="D2" s="5"/>
      <c r="E2" s="5"/>
      <c r="F2" s="5"/>
      <c r="G2" s="5"/>
    </row>
    <row r="3" spans="1:7" ht="21.75" customHeight="1" x14ac:dyDescent="0.3">
      <c r="A3" s="17"/>
      <c r="B3" s="17" t="s">
        <v>29</v>
      </c>
      <c r="C3" s="17" t="s">
        <v>30</v>
      </c>
      <c r="D3" s="17" t="s">
        <v>31</v>
      </c>
      <c r="E3" s="17" t="s">
        <v>32</v>
      </c>
      <c r="F3" s="17" t="s">
        <v>33</v>
      </c>
      <c r="G3" s="17" t="s">
        <v>34</v>
      </c>
    </row>
    <row r="4" spans="1:7" ht="19.5" customHeight="1" x14ac:dyDescent="0.3">
      <c r="B4" s="4" t="s">
        <v>35</v>
      </c>
      <c r="C4" s="4"/>
      <c r="D4" s="4"/>
      <c r="E4" s="4"/>
      <c r="F4" s="4"/>
      <c r="G4" s="4"/>
    </row>
    <row r="5" spans="1:7" ht="19.5" customHeight="1" x14ac:dyDescent="0.3">
      <c r="B5" s="4" t="s">
        <v>36</v>
      </c>
      <c r="C5" s="4"/>
      <c r="D5" s="4"/>
      <c r="E5" s="4"/>
      <c r="F5" s="4"/>
      <c r="G5" s="4"/>
    </row>
    <row r="6" spans="1:7" ht="18" customHeight="1" x14ac:dyDescent="0.3">
      <c r="B6" s="18" t="s">
        <v>37</v>
      </c>
      <c r="C6" s="19">
        <v>346827</v>
      </c>
      <c r="D6" s="19">
        <v>437928</v>
      </c>
      <c r="E6" s="19">
        <v>439695</v>
      </c>
      <c r="F6" s="20">
        <f t="shared" ref="F6:G8" si="0">D6-C6</f>
        <v>91101</v>
      </c>
      <c r="G6" s="20">
        <f t="shared" si="0"/>
        <v>1767</v>
      </c>
    </row>
    <row r="7" spans="1:7" ht="18" customHeight="1" x14ac:dyDescent="0.3">
      <c r="B7" s="21" t="s">
        <v>38</v>
      </c>
      <c r="C7" s="19">
        <v>4464</v>
      </c>
      <c r="D7" s="19">
        <v>5820</v>
      </c>
      <c r="E7" s="19">
        <v>6102</v>
      </c>
      <c r="F7" s="20">
        <f t="shared" si="0"/>
        <v>1356</v>
      </c>
      <c r="G7" s="20">
        <f t="shared" si="0"/>
        <v>282</v>
      </c>
    </row>
    <row r="8" spans="1:7" ht="18" customHeight="1" x14ac:dyDescent="0.3">
      <c r="B8" s="22" t="s">
        <v>39</v>
      </c>
      <c r="C8" s="23">
        <f>C6+C7</f>
        <v>351291</v>
      </c>
      <c r="D8" s="23">
        <f>D6+D7</f>
        <v>443748</v>
      </c>
      <c r="E8" s="23">
        <f>E6+E7</f>
        <v>445797</v>
      </c>
      <c r="F8" s="23">
        <f t="shared" si="0"/>
        <v>92457</v>
      </c>
      <c r="G8" s="23">
        <f t="shared" si="0"/>
        <v>2049</v>
      </c>
    </row>
    <row r="9" spans="1:7" ht="18" customHeight="1" x14ac:dyDescent="0.3"/>
    <row r="10" spans="1:7" ht="19.5" customHeight="1" x14ac:dyDescent="0.3">
      <c r="B10" s="4" t="s">
        <v>40</v>
      </c>
      <c r="C10" s="4"/>
      <c r="D10" s="4"/>
      <c r="E10" s="4"/>
      <c r="F10" s="4"/>
      <c r="G10" s="4"/>
    </row>
    <row r="11" spans="1:7" ht="18" customHeight="1" x14ac:dyDescent="0.3">
      <c r="B11" s="21" t="s">
        <v>41</v>
      </c>
      <c r="C11" s="19">
        <v>205736</v>
      </c>
      <c r="D11" s="19">
        <v>248764</v>
      </c>
      <c r="E11" s="19">
        <v>246820</v>
      </c>
      <c r="F11" s="20">
        <f t="shared" ref="F11:G15" si="1">D11-C11</f>
        <v>43028</v>
      </c>
      <c r="G11" s="20">
        <f t="shared" si="1"/>
        <v>-1944</v>
      </c>
    </row>
    <row r="12" spans="1:7" ht="18" customHeight="1" x14ac:dyDescent="0.3">
      <c r="B12" s="18" t="s">
        <v>42</v>
      </c>
      <c r="C12" s="19">
        <v>24093</v>
      </c>
      <c r="D12" s="19">
        <v>26050</v>
      </c>
      <c r="E12" s="19">
        <v>27310</v>
      </c>
      <c r="F12" s="20">
        <f t="shared" si="1"/>
        <v>1957</v>
      </c>
      <c r="G12" s="20">
        <f t="shared" si="1"/>
        <v>1260</v>
      </c>
    </row>
    <row r="13" spans="1:7" ht="18" customHeight="1" x14ac:dyDescent="0.3">
      <c r="B13" s="21" t="s">
        <v>43</v>
      </c>
      <c r="C13" s="19">
        <v>-2640</v>
      </c>
      <c r="D13" s="19">
        <v>1476</v>
      </c>
      <c r="E13" s="19">
        <v>-890</v>
      </c>
      <c r="F13" s="20">
        <f t="shared" si="1"/>
        <v>4116</v>
      </c>
      <c r="G13" s="20">
        <f t="shared" si="1"/>
        <v>-2366</v>
      </c>
    </row>
    <row r="14" spans="1:7" ht="18" customHeight="1" x14ac:dyDescent="0.3">
      <c r="B14" s="22" t="s">
        <v>44</v>
      </c>
      <c r="C14" s="23">
        <f>C11+C12+C13</f>
        <v>227189</v>
      </c>
      <c r="D14" s="23">
        <f>D11+D12+D13</f>
        <v>276290</v>
      </c>
      <c r="E14" s="23">
        <f>E11+E12+E13</f>
        <v>273240</v>
      </c>
      <c r="F14" s="23">
        <f t="shared" si="1"/>
        <v>49101</v>
      </c>
      <c r="G14" s="23">
        <f t="shared" si="1"/>
        <v>-3050</v>
      </c>
    </row>
    <row r="15" spans="1:7" ht="18" customHeight="1" x14ac:dyDescent="0.3">
      <c r="B15" s="22" t="s">
        <v>45</v>
      </c>
      <c r="C15" s="24">
        <f>C6-C14</f>
        <v>119638</v>
      </c>
      <c r="D15" s="24">
        <f>D6-D14</f>
        <v>161638</v>
      </c>
      <c r="E15" s="24">
        <f>E6-E14</f>
        <v>166455</v>
      </c>
      <c r="F15" s="24">
        <f t="shared" si="1"/>
        <v>42000</v>
      </c>
      <c r="G15" s="24">
        <f t="shared" si="1"/>
        <v>4817</v>
      </c>
    </row>
    <row r="16" spans="1:7" ht="18" customHeight="1" x14ac:dyDescent="0.3"/>
    <row r="17" spans="2:7" ht="19.5" customHeight="1" x14ac:dyDescent="0.3">
      <c r="B17" s="4" t="s">
        <v>46</v>
      </c>
      <c r="C17" s="4"/>
      <c r="D17" s="4"/>
      <c r="E17" s="4"/>
      <c r="F17" s="4"/>
      <c r="G17" s="4"/>
    </row>
    <row r="18" spans="2:7" ht="18" customHeight="1" x14ac:dyDescent="0.3">
      <c r="B18" s="18" t="s">
        <v>47</v>
      </c>
      <c r="C18" s="19">
        <v>38182</v>
      </c>
      <c r="D18" s="19">
        <v>45218</v>
      </c>
      <c r="E18" s="19">
        <v>47520</v>
      </c>
      <c r="F18" s="20">
        <f t="shared" ref="F18:G20" si="2">D18-C18</f>
        <v>7036</v>
      </c>
      <c r="G18" s="20">
        <f t="shared" si="2"/>
        <v>2302</v>
      </c>
    </row>
    <row r="19" spans="2:7" ht="18" customHeight="1" x14ac:dyDescent="0.3">
      <c r="B19" s="21" t="s">
        <v>48</v>
      </c>
      <c r="C19" s="19">
        <v>55027</v>
      </c>
      <c r="D19" s="19">
        <v>55396</v>
      </c>
      <c r="E19" s="19">
        <v>54210</v>
      </c>
      <c r="F19" s="20">
        <f t="shared" si="2"/>
        <v>369</v>
      </c>
      <c r="G19" s="20">
        <f t="shared" si="2"/>
        <v>-1186</v>
      </c>
    </row>
    <row r="20" spans="2:7" ht="18" customHeight="1" x14ac:dyDescent="0.3">
      <c r="B20" s="22" t="s">
        <v>49</v>
      </c>
      <c r="C20" s="23">
        <f>C18+C19</f>
        <v>93209</v>
      </c>
      <c r="D20" s="23">
        <f>D18+D19</f>
        <v>100614</v>
      </c>
      <c r="E20" s="23">
        <f>E18+E19</f>
        <v>101730</v>
      </c>
      <c r="F20" s="23">
        <f t="shared" si="2"/>
        <v>7405</v>
      </c>
      <c r="G20" s="23">
        <f t="shared" si="2"/>
        <v>1116</v>
      </c>
    </row>
    <row r="21" spans="2:7" ht="18" customHeight="1" x14ac:dyDescent="0.3"/>
    <row r="22" spans="2:7" ht="18" customHeight="1" x14ac:dyDescent="0.3">
      <c r="B22" s="22" t="s">
        <v>50</v>
      </c>
      <c r="C22" s="24">
        <f>C15-C20</f>
        <v>26429</v>
      </c>
      <c r="D22" s="24">
        <f>D15-D20</f>
        <v>61024</v>
      </c>
      <c r="E22" s="24">
        <f>E15-E20</f>
        <v>64725</v>
      </c>
      <c r="F22" s="24">
        <f t="shared" ref="F22:G28" si="3">D22-C22</f>
        <v>34595</v>
      </c>
      <c r="G22" s="24">
        <f t="shared" si="3"/>
        <v>3701</v>
      </c>
    </row>
    <row r="23" spans="2:7" ht="18" customHeight="1" x14ac:dyDescent="0.3">
      <c r="B23" s="21" t="s">
        <v>51</v>
      </c>
      <c r="C23" s="19">
        <v>24424</v>
      </c>
      <c r="D23" s="19">
        <v>27816</v>
      </c>
      <c r="E23" s="19">
        <v>28950</v>
      </c>
      <c r="F23" s="20">
        <f t="shared" si="3"/>
        <v>3392</v>
      </c>
      <c r="G23" s="20">
        <f t="shared" si="3"/>
        <v>1134</v>
      </c>
    </row>
    <row r="24" spans="2:7" ht="18" customHeight="1" x14ac:dyDescent="0.3">
      <c r="B24" s="22" t="s">
        <v>52</v>
      </c>
      <c r="C24" s="24">
        <f>C22-C23</f>
        <v>2005</v>
      </c>
      <c r="D24" s="24">
        <f>D22-D23</f>
        <v>33208</v>
      </c>
      <c r="E24" s="24">
        <f>E22-E23</f>
        <v>35775</v>
      </c>
      <c r="F24" s="24">
        <f t="shared" si="3"/>
        <v>31203</v>
      </c>
      <c r="G24" s="24">
        <f t="shared" si="3"/>
        <v>2567</v>
      </c>
    </row>
    <row r="25" spans="2:7" ht="18" customHeight="1" x14ac:dyDescent="0.3">
      <c r="B25" s="21" t="s">
        <v>53</v>
      </c>
      <c r="C25" s="19">
        <v>13914</v>
      </c>
      <c r="D25" s="19">
        <v>12625</v>
      </c>
      <c r="E25" s="19">
        <v>11842</v>
      </c>
      <c r="F25" s="20">
        <f t="shared" si="3"/>
        <v>-1289</v>
      </c>
      <c r="G25" s="20">
        <f t="shared" si="3"/>
        <v>-783</v>
      </c>
    </row>
    <row r="26" spans="2:7" ht="18" customHeight="1" x14ac:dyDescent="0.3">
      <c r="B26" s="22" t="s">
        <v>54</v>
      </c>
      <c r="C26" s="24">
        <f>C24-C25</f>
        <v>-11909</v>
      </c>
      <c r="D26" s="24">
        <f>D24-D25</f>
        <v>20583</v>
      </c>
      <c r="E26" s="24">
        <f>E24-E25</f>
        <v>23933</v>
      </c>
      <c r="F26" s="24">
        <f t="shared" si="3"/>
        <v>32492</v>
      </c>
      <c r="G26" s="24">
        <f t="shared" si="3"/>
        <v>3350</v>
      </c>
    </row>
    <row r="27" spans="2:7" ht="18" customHeight="1" x14ac:dyDescent="0.3">
      <c r="B27" s="21" t="s">
        <v>55</v>
      </c>
      <c r="C27" s="19">
        <v>5046</v>
      </c>
      <c r="D27" s="19">
        <v>8645</v>
      </c>
      <c r="E27" s="19">
        <v>9820</v>
      </c>
      <c r="F27" s="20">
        <f t="shared" si="3"/>
        <v>3599</v>
      </c>
      <c r="G27" s="20">
        <f t="shared" si="3"/>
        <v>1175</v>
      </c>
    </row>
    <row r="28" spans="2:7" ht="18" customHeight="1" x14ac:dyDescent="0.3">
      <c r="B28" s="22" t="s">
        <v>56</v>
      </c>
      <c r="C28" s="24">
        <f>C26-C27</f>
        <v>-16955</v>
      </c>
      <c r="D28" s="24">
        <f>D26-D27</f>
        <v>11938</v>
      </c>
      <c r="E28" s="24">
        <f>E26-E27</f>
        <v>14113</v>
      </c>
      <c r="F28" s="24">
        <f t="shared" si="3"/>
        <v>28893</v>
      </c>
      <c r="G28" s="24">
        <f t="shared" si="3"/>
        <v>2175</v>
      </c>
    </row>
    <row r="29" spans="2:7" ht="18" customHeight="1" x14ac:dyDescent="0.3"/>
    <row r="30" spans="2:7" ht="19.5" customHeight="1" x14ac:dyDescent="0.3">
      <c r="B30" s="4" t="s">
        <v>57</v>
      </c>
      <c r="C30" s="4"/>
      <c r="D30" s="4"/>
      <c r="E30" s="4"/>
      <c r="F30" s="4"/>
      <c r="G30" s="4"/>
    </row>
    <row r="31" spans="2:7" ht="18" customHeight="1" x14ac:dyDescent="0.3">
      <c r="B31" s="25" t="s">
        <v>58</v>
      </c>
      <c r="C31" s="26">
        <f>IF(C6=0,0,C15/C6)</f>
        <v>0.34495007597447719</v>
      </c>
      <c r="D31" s="26">
        <f>IF(D6=0,0,D15/D6)</f>
        <v>0.36909720319321898</v>
      </c>
      <c r="E31" s="26">
        <f>IF(E6=0,0,E15/E6)</f>
        <v>0.37856923549278476</v>
      </c>
      <c r="F31" s="26">
        <f t="shared" ref="F31:G34" si="4">D31-C31</f>
        <v>2.4147127218741793E-2</v>
      </c>
      <c r="G31" s="26">
        <f t="shared" si="4"/>
        <v>9.4720322995657802E-3</v>
      </c>
    </row>
    <row r="32" spans="2:7" ht="18" customHeight="1" x14ac:dyDescent="0.3">
      <c r="B32" s="25" t="s">
        <v>59</v>
      </c>
      <c r="C32" s="26">
        <f>IF(C6=0,0,C22/C6)</f>
        <v>7.6202256456388923E-2</v>
      </c>
      <c r="D32" s="26">
        <f>IF(D6=0,0,D22/D6)</f>
        <v>0.13934710728704261</v>
      </c>
      <c r="E32" s="26">
        <f>IF(E6=0,0,E22/E6)</f>
        <v>0.14720431207996451</v>
      </c>
      <c r="F32" s="26">
        <f t="shared" si="4"/>
        <v>6.3144850830653687E-2</v>
      </c>
      <c r="G32" s="26">
        <f t="shared" si="4"/>
        <v>7.8572047929219013E-3</v>
      </c>
    </row>
    <row r="33" spans="2:7" ht="18" customHeight="1" x14ac:dyDescent="0.3">
      <c r="B33" s="25" t="s">
        <v>60</v>
      </c>
      <c r="C33" s="26">
        <f>IF(C6=0,0,C24/C6)</f>
        <v>5.7809801428377839E-3</v>
      </c>
      <c r="D33" s="26">
        <f>IF(D6=0,0,D24/D6)</f>
        <v>7.5829816773533551E-2</v>
      </c>
      <c r="E33" s="26">
        <f>IF(E6=0,0,E24/E6)</f>
        <v>8.136321768498618E-2</v>
      </c>
      <c r="F33" s="26">
        <f t="shared" si="4"/>
        <v>7.0048836630695763E-2</v>
      </c>
      <c r="G33" s="26">
        <f t="shared" si="4"/>
        <v>5.5334009114526295E-3</v>
      </c>
    </row>
    <row r="34" spans="2:7" ht="18" customHeight="1" x14ac:dyDescent="0.3">
      <c r="B34" s="25" t="s">
        <v>61</v>
      </c>
      <c r="C34" s="26">
        <f>IF(C6=0,0,C28/C6)</f>
        <v>-4.8886044050780363E-2</v>
      </c>
      <c r="D34" s="26">
        <f>IF(D6=0,0,D28/D6)</f>
        <v>2.7260188889497817E-2</v>
      </c>
      <c r="E34" s="26">
        <f>IF(E6=0,0,E28/E6)</f>
        <v>3.2097249229579593E-2</v>
      </c>
      <c r="F34" s="26">
        <f t="shared" si="4"/>
        <v>7.6146232940278183E-2</v>
      </c>
      <c r="G34" s="26">
        <f t="shared" si="4"/>
        <v>4.8370603400817759E-3</v>
      </c>
    </row>
    <row r="35" spans="2:7" ht="18" customHeight="1" x14ac:dyDescent="0.3"/>
    <row r="36" spans="2:7" ht="19.5" customHeight="1" x14ac:dyDescent="0.3">
      <c r="B36" s="4" t="s">
        <v>62</v>
      </c>
      <c r="C36" s="4"/>
      <c r="D36" s="4"/>
      <c r="E36" s="4"/>
      <c r="F36" s="4"/>
      <c r="G36" s="4"/>
    </row>
    <row r="37" spans="2:7" ht="18" customHeight="1" x14ac:dyDescent="0.3">
      <c r="B37" s="21" t="s">
        <v>63</v>
      </c>
      <c r="C37" s="27" t="s">
        <v>64</v>
      </c>
      <c r="D37" s="26">
        <f>IF(C6=0,0,(D6-C6)/ABS(C6))</f>
        <v>0.26266986134297504</v>
      </c>
      <c r="E37" s="26">
        <f>IF(D6=0,0,(E6-D6)/ABS(D6))</f>
        <v>4.0349098481942238E-3</v>
      </c>
      <c r="F37" s="28"/>
      <c r="G37" s="28"/>
    </row>
    <row r="38" spans="2:7" ht="18" customHeight="1" x14ac:dyDescent="0.3">
      <c r="B38" s="18" t="s">
        <v>65</v>
      </c>
      <c r="C38" s="27" t="s">
        <v>64</v>
      </c>
      <c r="D38" s="26">
        <f>IF(C28=0,0,(D28-C28)/ABS(C28))</f>
        <v>1.7040990858153937</v>
      </c>
      <c r="E38" s="26">
        <f>IF(D28=0,0,(E28-D28)/ABS(D28))</f>
        <v>0.18219132182945216</v>
      </c>
      <c r="F38" s="28"/>
      <c r="G38" s="28"/>
    </row>
  </sheetData>
  <mergeCells count="8">
    <mergeCell ref="B17:G17"/>
    <mergeCell ref="B30:G30"/>
    <mergeCell ref="B36:G36"/>
    <mergeCell ref="B1:G1"/>
    <mergeCell ref="B2:G2"/>
    <mergeCell ref="B4:G4"/>
    <mergeCell ref="B5:G5"/>
    <mergeCell ref="B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G46"/>
  <sheetViews>
    <sheetView showGridLines="0" zoomScaleNormal="100" workbookViewId="0">
      <pane xSplit="2" ySplit="3" topLeftCell="C32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3" customWidth="1"/>
    <col min="2" max="2" width="42" customWidth="1"/>
    <col min="3" max="7" width="18" customWidth="1"/>
  </cols>
  <sheetData>
    <row r="1" spans="1:7" ht="27.75" customHeight="1" x14ac:dyDescent="0.3">
      <c r="B1" s="6" t="s">
        <v>66</v>
      </c>
      <c r="C1" s="6"/>
      <c r="D1" s="6"/>
      <c r="E1" s="6"/>
      <c r="F1" s="6"/>
      <c r="G1" s="6"/>
    </row>
    <row r="2" spans="1:7" ht="15" customHeight="1" x14ac:dyDescent="0.3">
      <c r="B2" s="5" t="s">
        <v>67</v>
      </c>
      <c r="C2" s="5"/>
      <c r="D2" s="5"/>
      <c r="E2" s="5"/>
      <c r="F2" s="5"/>
      <c r="G2" s="5"/>
    </row>
    <row r="3" spans="1:7" ht="21.75" customHeight="1" x14ac:dyDescent="0.3">
      <c r="A3" s="17"/>
      <c r="B3" s="17" t="s">
        <v>29</v>
      </c>
      <c r="C3" s="17" t="s">
        <v>30</v>
      </c>
      <c r="D3" s="17" t="s">
        <v>31</v>
      </c>
      <c r="E3" s="17" t="s">
        <v>32</v>
      </c>
      <c r="F3" s="17" t="s">
        <v>68</v>
      </c>
      <c r="G3" s="17" t="s">
        <v>69</v>
      </c>
    </row>
    <row r="5" spans="1:7" ht="19.5" customHeight="1" x14ac:dyDescent="0.3">
      <c r="B5" s="4" t="s">
        <v>70</v>
      </c>
      <c r="C5" s="4"/>
      <c r="D5" s="4"/>
      <c r="E5" s="4"/>
      <c r="F5" s="4"/>
      <c r="G5" s="4"/>
    </row>
    <row r="6" spans="1:7" ht="19.5" customHeight="1" x14ac:dyDescent="0.3">
      <c r="B6" s="3" t="s">
        <v>71</v>
      </c>
      <c r="C6" s="3"/>
      <c r="D6" s="3"/>
      <c r="E6" s="3"/>
      <c r="F6" s="3"/>
      <c r="G6" s="3"/>
    </row>
    <row r="7" spans="1:7" ht="18" customHeight="1" x14ac:dyDescent="0.3">
      <c r="B7" s="21" t="s">
        <v>72</v>
      </c>
      <c r="C7" s="19">
        <v>765</v>
      </c>
      <c r="D7" s="19">
        <v>766</v>
      </c>
      <c r="E7" s="19">
        <v>769</v>
      </c>
      <c r="F7" s="20">
        <f t="shared" ref="F7:G11" si="0">D7-C7</f>
        <v>1</v>
      </c>
      <c r="G7" s="20">
        <f t="shared" si="0"/>
        <v>3</v>
      </c>
    </row>
    <row r="8" spans="1:7" ht="18" customHeight="1" x14ac:dyDescent="0.3">
      <c r="B8" s="18" t="s">
        <v>73</v>
      </c>
      <c r="C8" s="19">
        <v>14932</v>
      </c>
      <c r="D8" s="19">
        <v>42608</v>
      </c>
      <c r="E8" s="19">
        <v>67250</v>
      </c>
      <c r="F8" s="20">
        <f t="shared" si="0"/>
        <v>27676</v>
      </c>
      <c r="G8" s="20">
        <f t="shared" si="0"/>
        <v>24642</v>
      </c>
    </row>
    <row r="9" spans="1:7" ht="18" customHeight="1" x14ac:dyDescent="0.3">
      <c r="B9" s="22" t="s">
        <v>74</v>
      </c>
      <c r="C9" s="23">
        <f>C7+C8</f>
        <v>15697</v>
      </c>
      <c r="D9" s="23">
        <f>D7+D8</f>
        <v>43374</v>
      </c>
      <c r="E9" s="23">
        <f>E7+E8</f>
        <v>68019</v>
      </c>
      <c r="F9" s="23">
        <f t="shared" si="0"/>
        <v>27677</v>
      </c>
      <c r="G9" s="23">
        <f t="shared" si="0"/>
        <v>24645</v>
      </c>
    </row>
    <row r="10" spans="1:7" ht="18" customHeight="1" x14ac:dyDescent="0.3">
      <c r="B10" s="18" t="s">
        <v>75</v>
      </c>
      <c r="C10" s="19">
        <v>8750</v>
      </c>
      <c r="D10" s="19">
        <v>9820</v>
      </c>
      <c r="E10" s="19">
        <v>10540</v>
      </c>
      <c r="F10" s="20">
        <f t="shared" si="0"/>
        <v>1070</v>
      </c>
      <c r="G10" s="20">
        <f t="shared" si="0"/>
        <v>720</v>
      </c>
    </row>
    <row r="11" spans="1:7" ht="18" customHeight="1" x14ac:dyDescent="0.3">
      <c r="B11" s="29" t="s">
        <v>76</v>
      </c>
      <c r="C11" s="24">
        <f>C9+C10</f>
        <v>24447</v>
      </c>
      <c r="D11" s="24">
        <f>D9+D10</f>
        <v>53194</v>
      </c>
      <c r="E11" s="24">
        <f>E9+E10</f>
        <v>78559</v>
      </c>
      <c r="F11" s="24">
        <f t="shared" si="0"/>
        <v>28747</v>
      </c>
      <c r="G11" s="24">
        <f t="shared" si="0"/>
        <v>25365</v>
      </c>
    </row>
    <row r="12" spans="1:7" ht="18" customHeight="1" x14ac:dyDescent="0.3"/>
    <row r="13" spans="1:7" ht="19.5" customHeight="1" x14ac:dyDescent="0.3">
      <c r="B13" s="3" t="s">
        <v>77</v>
      </c>
      <c r="C13" s="3"/>
      <c r="D13" s="3"/>
      <c r="E13" s="3"/>
      <c r="F13" s="3"/>
      <c r="G13" s="3"/>
    </row>
    <row r="14" spans="1:7" ht="18" customHeight="1" x14ac:dyDescent="0.3">
      <c r="B14" s="18" t="s">
        <v>78</v>
      </c>
      <c r="C14" s="19">
        <v>102450</v>
      </c>
      <c r="D14" s="19">
        <v>86420</v>
      </c>
      <c r="E14" s="19">
        <v>74810</v>
      </c>
      <c r="F14" s="20">
        <f t="shared" ref="F14:G17" si="1">D14-C14</f>
        <v>-16030</v>
      </c>
      <c r="G14" s="20">
        <f t="shared" si="1"/>
        <v>-11610</v>
      </c>
    </row>
    <row r="15" spans="1:7" ht="18" customHeight="1" x14ac:dyDescent="0.3">
      <c r="B15" s="21" t="s">
        <v>79</v>
      </c>
      <c r="C15" s="19">
        <v>1820</v>
      </c>
      <c r="D15" s="19">
        <v>3240</v>
      </c>
      <c r="E15" s="19">
        <v>4150</v>
      </c>
      <c r="F15" s="20">
        <f t="shared" si="1"/>
        <v>1420</v>
      </c>
      <c r="G15" s="20">
        <f t="shared" si="1"/>
        <v>910</v>
      </c>
    </row>
    <row r="16" spans="1:7" ht="18" customHeight="1" x14ac:dyDescent="0.3">
      <c r="B16" s="18" t="s">
        <v>80</v>
      </c>
      <c r="C16" s="19">
        <v>18420</v>
      </c>
      <c r="D16" s="19">
        <v>19650</v>
      </c>
      <c r="E16" s="19">
        <v>20140</v>
      </c>
      <c r="F16" s="20">
        <f t="shared" si="1"/>
        <v>1230</v>
      </c>
      <c r="G16" s="20">
        <f t="shared" si="1"/>
        <v>490</v>
      </c>
    </row>
    <row r="17" spans="2:7" ht="18" customHeight="1" x14ac:dyDescent="0.3">
      <c r="B17" s="22" t="s">
        <v>81</v>
      </c>
      <c r="C17" s="23">
        <f>C14+C15+C16</f>
        <v>122690</v>
      </c>
      <c r="D17" s="23">
        <f>D14+D15+D16</f>
        <v>109310</v>
      </c>
      <c r="E17" s="23">
        <f>E14+E15+E16</f>
        <v>99100</v>
      </c>
      <c r="F17" s="23">
        <f t="shared" si="1"/>
        <v>-13380</v>
      </c>
      <c r="G17" s="23">
        <f t="shared" si="1"/>
        <v>-10210</v>
      </c>
    </row>
    <row r="18" spans="2:7" ht="18" customHeight="1" x14ac:dyDescent="0.3"/>
    <row r="19" spans="2:7" ht="19.5" customHeight="1" x14ac:dyDescent="0.3">
      <c r="B19" s="3" t="s">
        <v>82</v>
      </c>
      <c r="C19" s="3"/>
      <c r="D19" s="3"/>
      <c r="E19" s="3"/>
      <c r="F19" s="3"/>
      <c r="G19" s="3"/>
    </row>
    <row r="20" spans="2:7" ht="18" customHeight="1" x14ac:dyDescent="0.3">
      <c r="B20" s="18" t="s">
        <v>83</v>
      </c>
      <c r="C20" s="19">
        <v>34250</v>
      </c>
      <c r="D20" s="19">
        <v>22480</v>
      </c>
      <c r="E20" s="19">
        <v>18620</v>
      </c>
      <c r="F20" s="20">
        <f t="shared" ref="F20:G23" si="2">D20-C20</f>
        <v>-11770</v>
      </c>
      <c r="G20" s="20">
        <f t="shared" si="2"/>
        <v>-3860</v>
      </c>
    </row>
    <row r="21" spans="2:7" ht="18" customHeight="1" x14ac:dyDescent="0.3">
      <c r="B21" s="21" t="s">
        <v>84</v>
      </c>
      <c r="C21" s="19">
        <v>52640</v>
      </c>
      <c r="D21" s="19">
        <v>58920</v>
      </c>
      <c r="E21" s="19">
        <v>61430</v>
      </c>
      <c r="F21" s="20">
        <f t="shared" si="2"/>
        <v>6280</v>
      </c>
      <c r="G21" s="20">
        <f t="shared" si="2"/>
        <v>2510</v>
      </c>
    </row>
    <row r="22" spans="2:7" ht="18" customHeight="1" x14ac:dyDescent="0.3">
      <c r="B22" s="18" t="s">
        <v>85</v>
      </c>
      <c r="C22" s="19">
        <v>48320</v>
      </c>
      <c r="D22" s="19">
        <v>51640</v>
      </c>
      <c r="E22" s="19">
        <v>53820</v>
      </c>
      <c r="F22" s="20">
        <f t="shared" si="2"/>
        <v>3320</v>
      </c>
      <c r="G22" s="20">
        <f t="shared" si="2"/>
        <v>2180</v>
      </c>
    </row>
    <row r="23" spans="2:7" ht="18" customHeight="1" x14ac:dyDescent="0.3">
      <c r="B23" s="22" t="s">
        <v>86</v>
      </c>
      <c r="C23" s="23">
        <f>C20+C21+C22</f>
        <v>135210</v>
      </c>
      <c r="D23" s="23">
        <f>D20+D21+D22</f>
        <v>133040</v>
      </c>
      <c r="E23" s="23">
        <f>E20+E21+E22</f>
        <v>133870</v>
      </c>
      <c r="F23" s="23">
        <f t="shared" si="2"/>
        <v>-2170</v>
      </c>
      <c r="G23" s="23">
        <f t="shared" si="2"/>
        <v>830</v>
      </c>
    </row>
    <row r="24" spans="2:7" ht="18" customHeight="1" x14ac:dyDescent="0.3"/>
    <row r="25" spans="2:7" ht="18" customHeight="1" x14ac:dyDescent="0.3">
      <c r="B25" s="22" t="s">
        <v>87</v>
      </c>
      <c r="C25" s="23">
        <f>C17+C23</f>
        <v>257900</v>
      </c>
      <c r="D25" s="23">
        <f>D17+D23</f>
        <v>242350</v>
      </c>
      <c r="E25" s="23">
        <f>E17+E23</f>
        <v>232970</v>
      </c>
      <c r="F25" s="23">
        <f>D25-C25</f>
        <v>-15550</v>
      </c>
      <c r="G25" s="23">
        <f>E25-D25</f>
        <v>-9380</v>
      </c>
    </row>
    <row r="26" spans="2:7" ht="18" customHeight="1" x14ac:dyDescent="0.3">
      <c r="B26" s="29" t="s">
        <v>88</v>
      </c>
      <c r="C26" s="24">
        <f>C11+C25</f>
        <v>282347</v>
      </c>
      <c r="D26" s="24">
        <f>D11+D25</f>
        <v>295544</v>
      </c>
      <c r="E26" s="24">
        <f>E11+E25</f>
        <v>311529</v>
      </c>
      <c r="F26" s="24">
        <f>D26-C26</f>
        <v>13197</v>
      </c>
      <c r="G26" s="24">
        <f>E26-D26</f>
        <v>15985</v>
      </c>
    </row>
    <row r="27" spans="2:7" ht="18" customHeight="1" x14ac:dyDescent="0.3"/>
    <row r="28" spans="2:7" ht="19.5" customHeight="1" x14ac:dyDescent="0.3">
      <c r="B28" s="4" t="s">
        <v>89</v>
      </c>
      <c r="C28" s="4"/>
      <c r="D28" s="4"/>
      <c r="E28" s="4"/>
      <c r="F28" s="4"/>
      <c r="G28" s="4"/>
    </row>
    <row r="29" spans="2:7" ht="19.5" customHeight="1" x14ac:dyDescent="0.3">
      <c r="B29" s="3" t="s">
        <v>90</v>
      </c>
      <c r="C29" s="3"/>
      <c r="D29" s="3"/>
      <c r="E29" s="3"/>
      <c r="F29" s="3"/>
      <c r="G29" s="3"/>
    </row>
    <row r="30" spans="2:7" ht="18" customHeight="1" x14ac:dyDescent="0.3">
      <c r="B30" s="18" t="s">
        <v>91</v>
      </c>
      <c r="C30" s="19">
        <v>87420</v>
      </c>
      <c r="D30" s="19">
        <v>89640</v>
      </c>
      <c r="E30" s="19">
        <v>92340</v>
      </c>
      <c r="F30" s="20">
        <f t="shared" ref="F30:G35" si="3">D30-C30</f>
        <v>2220</v>
      </c>
      <c r="G30" s="20">
        <f t="shared" si="3"/>
        <v>2700</v>
      </c>
    </row>
    <row r="31" spans="2:7" ht="18" customHeight="1" x14ac:dyDescent="0.3">
      <c r="B31" s="21" t="s">
        <v>92</v>
      </c>
      <c r="C31" s="19">
        <v>24680</v>
      </c>
      <c r="D31" s="19">
        <v>26420</v>
      </c>
      <c r="E31" s="19">
        <v>27810</v>
      </c>
      <c r="F31" s="20">
        <f t="shared" si="3"/>
        <v>1740</v>
      </c>
      <c r="G31" s="20">
        <f t="shared" si="3"/>
        <v>1390</v>
      </c>
    </row>
    <row r="32" spans="2:7" ht="18" customHeight="1" x14ac:dyDescent="0.3">
      <c r="B32" s="18" t="s">
        <v>93</v>
      </c>
      <c r="C32" s="19">
        <v>74820</v>
      </c>
      <c r="D32" s="19">
        <v>76540</v>
      </c>
      <c r="E32" s="19">
        <v>78920</v>
      </c>
      <c r="F32" s="20">
        <f t="shared" si="3"/>
        <v>1720</v>
      </c>
      <c r="G32" s="20">
        <f t="shared" si="3"/>
        <v>2380</v>
      </c>
    </row>
    <row r="33" spans="2:7" ht="18" customHeight="1" x14ac:dyDescent="0.3">
      <c r="B33" s="21" t="s">
        <v>94</v>
      </c>
      <c r="C33" s="19">
        <v>12840</v>
      </c>
      <c r="D33" s="19">
        <v>14620</v>
      </c>
      <c r="E33" s="19">
        <v>16840</v>
      </c>
      <c r="F33" s="20">
        <f t="shared" si="3"/>
        <v>1780</v>
      </c>
      <c r="G33" s="20">
        <f t="shared" si="3"/>
        <v>2220</v>
      </c>
    </row>
    <row r="34" spans="2:7" ht="18" customHeight="1" x14ac:dyDescent="0.3">
      <c r="B34" s="18" t="s">
        <v>95</v>
      </c>
      <c r="C34" s="19">
        <v>14620</v>
      </c>
      <c r="D34" s="19">
        <v>15840</v>
      </c>
      <c r="E34" s="19">
        <v>17240</v>
      </c>
      <c r="F34" s="20">
        <f t="shared" si="3"/>
        <v>1220</v>
      </c>
      <c r="G34" s="20">
        <f t="shared" si="3"/>
        <v>1400</v>
      </c>
    </row>
    <row r="35" spans="2:7" ht="18" customHeight="1" x14ac:dyDescent="0.3">
      <c r="B35" s="22" t="s">
        <v>96</v>
      </c>
      <c r="C35" s="23">
        <f>C30+C31+C32+C33+C34</f>
        <v>214380</v>
      </c>
      <c r="D35" s="23">
        <f>D30+D31+D32+D33+D34</f>
        <v>223060</v>
      </c>
      <c r="E35" s="23">
        <f>E30+E31+E32+E33+E34</f>
        <v>233150</v>
      </c>
      <c r="F35" s="23">
        <f t="shared" si="3"/>
        <v>8680</v>
      </c>
      <c r="G35" s="23">
        <f t="shared" si="3"/>
        <v>10090</v>
      </c>
    </row>
    <row r="36" spans="2:7" ht="18" customHeight="1" x14ac:dyDescent="0.3"/>
    <row r="37" spans="2:7" ht="19.5" customHeight="1" x14ac:dyDescent="0.3">
      <c r="B37" s="3" t="s">
        <v>97</v>
      </c>
      <c r="C37" s="3"/>
      <c r="D37" s="3"/>
      <c r="E37" s="3"/>
      <c r="F37" s="3"/>
      <c r="G37" s="3"/>
    </row>
    <row r="38" spans="2:7" ht="18" customHeight="1" x14ac:dyDescent="0.3">
      <c r="B38" s="18" t="s">
        <v>98</v>
      </c>
      <c r="C38" s="19">
        <v>47820</v>
      </c>
      <c r="D38" s="19">
        <v>48640</v>
      </c>
      <c r="E38" s="19">
        <v>49820</v>
      </c>
      <c r="F38" s="20">
        <f t="shared" ref="F38:G42" si="4">D38-C38</f>
        <v>820</v>
      </c>
      <c r="G38" s="20">
        <f t="shared" si="4"/>
        <v>1180</v>
      </c>
    </row>
    <row r="39" spans="2:7" ht="18" customHeight="1" x14ac:dyDescent="0.3">
      <c r="B39" s="21" t="s">
        <v>99</v>
      </c>
      <c r="C39" s="19">
        <v>28640</v>
      </c>
      <c r="D39" s="19">
        <v>31420</v>
      </c>
      <c r="E39" s="19">
        <v>33840</v>
      </c>
      <c r="F39" s="20">
        <f t="shared" si="4"/>
        <v>2780</v>
      </c>
      <c r="G39" s="20">
        <f t="shared" si="4"/>
        <v>2420</v>
      </c>
    </row>
    <row r="40" spans="2:7" ht="18" customHeight="1" x14ac:dyDescent="0.3">
      <c r="B40" s="18" t="s">
        <v>100</v>
      </c>
      <c r="C40" s="19">
        <v>35420</v>
      </c>
      <c r="D40" s="19">
        <v>42840</v>
      </c>
      <c r="E40" s="19">
        <v>49620</v>
      </c>
      <c r="F40" s="20">
        <f t="shared" si="4"/>
        <v>7420</v>
      </c>
      <c r="G40" s="20">
        <f t="shared" si="4"/>
        <v>6780</v>
      </c>
    </row>
    <row r="41" spans="2:7" ht="18" customHeight="1" x14ac:dyDescent="0.3">
      <c r="B41" s="21" t="s">
        <v>101</v>
      </c>
      <c r="C41" s="19">
        <v>24740</v>
      </c>
      <c r="D41" s="19">
        <v>26340</v>
      </c>
      <c r="E41" s="19">
        <v>28040</v>
      </c>
      <c r="F41" s="20">
        <f t="shared" si="4"/>
        <v>1600</v>
      </c>
      <c r="G41" s="20">
        <f t="shared" si="4"/>
        <v>1700</v>
      </c>
    </row>
    <row r="42" spans="2:7" ht="18" customHeight="1" x14ac:dyDescent="0.3">
      <c r="B42" s="22" t="s">
        <v>102</v>
      </c>
      <c r="C42" s="23">
        <f>C38+C39+C40+C41</f>
        <v>136620</v>
      </c>
      <c r="D42" s="23">
        <f>D38+D39+D40+D41</f>
        <v>149240</v>
      </c>
      <c r="E42" s="23">
        <f>E38+E39+E40+E41</f>
        <v>161320</v>
      </c>
      <c r="F42" s="23">
        <f t="shared" si="4"/>
        <v>12620</v>
      </c>
      <c r="G42" s="23">
        <f t="shared" si="4"/>
        <v>12080</v>
      </c>
    </row>
    <row r="43" spans="2:7" ht="18" customHeight="1" x14ac:dyDescent="0.3"/>
    <row r="44" spans="2:7" ht="18" customHeight="1" x14ac:dyDescent="0.3">
      <c r="B44" s="29" t="s">
        <v>103</v>
      </c>
      <c r="C44" s="24">
        <f>C35+C42</f>
        <v>351000</v>
      </c>
      <c r="D44" s="24">
        <f>D35+D42</f>
        <v>372300</v>
      </c>
      <c r="E44" s="24">
        <f>E35+E42</f>
        <v>394470</v>
      </c>
      <c r="F44" s="24">
        <f>D44-C44</f>
        <v>21300</v>
      </c>
      <c r="G44" s="24">
        <f>E44-D44</f>
        <v>22170</v>
      </c>
    </row>
    <row r="45" spans="2:7" ht="18" customHeight="1" x14ac:dyDescent="0.3"/>
    <row r="46" spans="2:7" ht="18" customHeight="1" x14ac:dyDescent="0.3">
      <c r="B46" s="30" t="s">
        <v>104</v>
      </c>
      <c r="C46" s="31" t="str">
        <f>IF(ABS(C44-C26)&lt;1,"✔ BALANCED","✘ CHECK")</f>
        <v>✘ CHECK</v>
      </c>
      <c r="D46" s="31" t="str">
        <f>IF(ABS(D44-D26)&lt;1,"✔ BALANCED","✘ CHECK")</f>
        <v>✘ CHECK</v>
      </c>
      <c r="E46" s="31" t="str">
        <f>IF(ABS(E44-E26)&lt;1,"✔ BALANCED","✘ CHECK")</f>
        <v>✘ CHECK</v>
      </c>
    </row>
  </sheetData>
  <mergeCells count="9">
    <mergeCell ref="B19:G19"/>
    <mergeCell ref="B28:G28"/>
    <mergeCell ref="B29:G29"/>
    <mergeCell ref="B37:G37"/>
    <mergeCell ref="B1:G1"/>
    <mergeCell ref="B2:G2"/>
    <mergeCell ref="B5:G5"/>
    <mergeCell ref="B6:G6"/>
    <mergeCell ref="B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G31"/>
  <sheetViews>
    <sheetView showGridLines="0" zoomScaleNormal="100" workbookViewId="0">
      <pane xSplit="2" ySplit="3" topLeftCell="C19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3" customWidth="1"/>
    <col min="2" max="2" width="42" customWidth="1"/>
    <col min="3" max="7" width="18" customWidth="1"/>
  </cols>
  <sheetData>
    <row r="1" spans="1:7" ht="27.75" customHeight="1" x14ac:dyDescent="0.3">
      <c r="B1" s="6" t="s">
        <v>105</v>
      </c>
      <c r="C1" s="6"/>
      <c r="D1" s="6"/>
      <c r="E1" s="6"/>
      <c r="F1" s="6"/>
      <c r="G1" s="6"/>
    </row>
    <row r="2" spans="1:7" ht="15" customHeight="1" x14ac:dyDescent="0.3">
      <c r="B2" s="5" t="s">
        <v>67</v>
      </c>
      <c r="C2" s="5"/>
      <c r="D2" s="5"/>
      <c r="E2" s="5"/>
      <c r="F2" s="5"/>
      <c r="G2" s="5"/>
    </row>
    <row r="3" spans="1:7" ht="21.75" customHeight="1" x14ac:dyDescent="0.3">
      <c r="A3" s="17"/>
      <c r="B3" s="17" t="s">
        <v>29</v>
      </c>
      <c r="C3" s="17" t="s">
        <v>30</v>
      </c>
      <c r="D3" s="17" t="s">
        <v>31</v>
      </c>
      <c r="E3" s="17" t="s">
        <v>32</v>
      </c>
      <c r="F3" s="17" t="s">
        <v>68</v>
      </c>
      <c r="G3" s="17" t="s">
        <v>69</v>
      </c>
    </row>
    <row r="5" spans="1:7" ht="19.5" customHeight="1" x14ac:dyDescent="0.3">
      <c r="B5" s="4" t="s">
        <v>106</v>
      </c>
      <c r="C5" s="4"/>
      <c r="D5" s="4"/>
      <c r="E5" s="4"/>
      <c r="F5" s="4"/>
      <c r="G5" s="4"/>
    </row>
    <row r="6" spans="1:7" ht="18" customHeight="1" x14ac:dyDescent="0.3">
      <c r="B6" s="18" t="s">
        <v>107</v>
      </c>
      <c r="C6" s="19">
        <v>-3542</v>
      </c>
      <c r="D6" s="19">
        <v>31600</v>
      </c>
      <c r="E6" s="19">
        <v>47820</v>
      </c>
      <c r="F6" s="20">
        <f t="shared" ref="F6:G11" si="0">D6-C6</f>
        <v>35142</v>
      </c>
      <c r="G6" s="20">
        <f t="shared" si="0"/>
        <v>16220</v>
      </c>
    </row>
    <row r="7" spans="1:7" ht="18" customHeight="1" x14ac:dyDescent="0.3">
      <c r="B7" s="21" t="s">
        <v>108</v>
      </c>
      <c r="C7" s="19">
        <v>24424</v>
      </c>
      <c r="D7" s="19">
        <v>27816</v>
      </c>
      <c r="E7" s="19">
        <v>28950</v>
      </c>
      <c r="F7" s="20">
        <f t="shared" si="0"/>
        <v>3392</v>
      </c>
      <c r="G7" s="20">
        <f t="shared" si="0"/>
        <v>1134</v>
      </c>
    </row>
    <row r="8" spans="1:7" ht="18" customHeight="1" x14ac:dyDescent="0.3">
      <c r="B8" s="18" t="s">
        <v>109</v>
      </c>
      <c r="C8" s="19">
        <v>13914</v>
      </c>
      <c r="D8" s="19">
        <v>12625</v>
      </c>
      <c r="E8" s="19">
        <v>11842</v>
      </c>
      <c r="F8" s="20">
        <f t="shared" si="0"/>
        <v>-1289</v>
      </c>
      <c r="G8" s="20">
        <f t="shared" si="0"/>
        <v>-783</v>
      </c>
    </row>
    <row r="9" spans="1:7" ht="18" customHeight="1" x14ac:dyDescent="0.3">
      <c r="B9" s="21" t="s">
        <v>110</v>
      </c>
      <c r="C9" s="19">
        <v>-8240</v>
      </c>
      <c r="D9" s="19">
        <v>-4620</v>
      </c>
      <c r="E9" s="19">
        <v>3140</v>
      </c>
      <c r="F9" s="20">
        <f t="shared" si="0"/>
        <v>3620</v>
      </c>
      <c r="G9" s="20">
        <f t="shared" si="0"/>
        <v>7760</v>
      </c>
    </row>
    <row r="10" spans="1:7" ht="18" customHeight="1" x14ac:dyDescent="0.3">
      <c r="B10" s="18" t="s">
        <v>111</v>
      </c>
      <c r="C10" s="19">
        <v>2840</v>
      </c>
      <c r="D10" s="19">
        <v>3420</v>
      </c>
      <c r="E10" s="19">
        <v>2610</v>
      </c>
      <c r="F10" s="20">
        <f t="shared" si="0"/>
        <v>580</v>
      </c>
      <c r="G10" s="20">
        <f t="shared" si="0"/>
        <v>-810</v>
      </c>
    </row>
    <row r="11" spans="1:7" ht="18" customHeight="1" x14ac:dyDescent="0.3">
      <c r="B11" s="22" t="s">
        <v>112</v>
      </c>
      <c r="C11" s="23">
        <f>C6+C7+C8+C9+C10</f>
        <v>29396</v>
      </c>
      <c r="D11" s="23">
        <f>D6+D7+D8+D9+D10</f>
        <v>70841</v>
      </c>
      <c r="E11" s="23">
        <f>E6+E7+E8+E9+E10</f>
        <v>94362</v>
      </c>
      <c r="F11" s="23">
        <f t="shared" si="0"/>
        <v>41445</v>
      </c>
      <c r="G11" s="23">
        <f t="shared" si="0"/>
        <v>23521</v>
      </c>
    </row>
    <row r="12" spans="1:7" ht="18" customHeight="1" x14ac:dyDescent="0.3"/>
    <row r="13" spans="1:7" ht="19.5" customHeight="1" x14ac:dyDescent="0.3">
      <c r="B13" s="4" t="s">
        <v>113</v>
      </c>
      <c r="C13" s="4"/>
      <c r="D13" s="4"/>
      <c r="E13" s="4"/>
      <c r="F13" s="4"/>
      <c r="G13" s="4"/>
    </row>
    <row r="14" spans="1:7" ht="18" customHeight="1" x14ac:dyDescent="0.3">
      <c r="B14" s="18" t="s">
        <v>114</v>
      </c>
      <c r="C14" s="19">
        <v>-18640</v>
      </c>
      <c r="D14" s="19">
        <v>-20420</v>
      </c>
      <c r="E14" s="19">
        <v>-22840</v>
      </c>
      <c r="F14" s="20">
        <f t="shared" ref="F14:G17" si="1">D14-C14</f>
        <v>-1780</v>
      </c>
      <c r="G14" s="20">
        <f t="shared" si="1"/>
        <v>-2420</v>
      </c>
    </row>
    <row r="15" spans="1:7" ht="18" customHeight="1" x14ac:dyDescent="0.3">
      <c r="B15" s="21" t="s">
        <v>115</v>
      </c>
      <c r="C15" s="19">
        <v>-4820</v>
      </c>
      <c r="D15" s="19">
        <v>-5640</v>
      </c>
      <c r="E15" s="19">
        <v>-4210</v>
      </c>
      <c r="F15" s="20">
        <f t="shared" si="1"/>
        <v>-820</v>
      </c>
      <c r="G15" s="20">
        <f t="shared" si="1"/>
        <v>1430</v>
      </c>
    </row>
    <row r="16" spans="1:7" ht="18" customHeight="1" x14ac:dyDescent="0.3">
      <c r="B16" s="18" t="s">
        <v>116</v>
      </c>
      <c r="C16" s="19">
        <v>1240</v>
      </c>
      <c r="D16" s="19">
        <v>1840</v>
      </c>
      <c r="E16" s="19">
        <v>2140</v>
      </c>
      <c r="F16" s="20">
        <f t="shared" si="1"/>
        <v>600</v>
      </c>
      <c r="G16" s="20">
        <f t="shared" si="1"/>
        <v>300</v>
      </c>
    </row>
    <row r="17" spans="2:7" ht="18" customHeight="1" x14ac:dyDescent="0.3">
      <c r="B17" s="22" t="s">
        <v>117</v>
      </c>
      <c r="C17" s="23">
        <f>C14+C15+C16</f>
        <v>-22220</v>
      </c>
      <c r="D17" s="23">
        <f>D14+D15+D16</f>
        <v>-24220</v>
      </c>
      <c r="E17" s="23">
        <f>E14+E15+E16</f>
        <v>-24910</v>
      </c>
      <c r="F17" s="23">
        <f t="shared" si="1"/>
        <v>-2000</v>
      </c>
      <c r="G17" s="23">
        <f t="shared" si="1"/>
        <v>-690</v>
      </c>
    </row>
    <row r="18" spans="2:7" ht="18" customHeight="1" x14ac:dyDescent="0.3"/>
    <row r="19" spans="2:7" ht="19.5" customHeight="1" x14ac:dyDescent="0.3">
      <c r="B19" s="4" t="s">
        <v>118</v>
      </c>
      <c r="C19" s="4"/>
      <c r="D19" s="4"/>
      <c r="E19" s="4"/>
      <c r="F19" s="4"/>
      <c r="G19" s="4"/>
    </row>
    <row r="20" spans="2:7" ht="18" customHeight="1" x14ac:dyDescent="0.3">
      <c r="B20" s="18" t="s">
        <v>119</v>
      </c>
      <c r="C20" s="19">
        <v>28420</v>
      </c>
      <c r="D20" s="19">
        <v>12640</v>
      </c>
      <c r="E20" s="19">
        <v>8420</v>
      </c>
      <c r="F20" s="20">
        <f t="shared" ref="F20:G24" si="2">D20-C20</f>
        <v>-15780</v>
      </c>
      <c r="G20" s="20">
        <f t="shared" si="2"/>
        <v>-4220</v>
      </c>
    </row>
    <row r="21" spans="2:7" ht="18" customHeight="1" x14ac:dyDescent="0.3">
      <c r="B21" s="21" t="s">
        <v>120</v>
      </c>
      <c r="C21" s="19">
        <v>-22840</v>
      </c>
      <c r="D21" s="19">
        <v>-28640</v>
      </c>
      <c r="E21" s="19">
        <v>-20410</v>
      </c>
      <c r="F21" s="20">
        <f t="shared" si="2"/>
        <v>-5800</v>
      </c>
      <c r="G21" s="20">
        <f t="shared" si="2"/>
        <v>8230</v>
      </c>
    </row>
    <row r="22" spans="2:7" ht="18" customHeight="1" x14ac:dyDescent="0.3">
      <c r="B22" s="18" t="s">
        <v>121</v>
      </c>
      <c r="C22" s="19">
        <v>-13914</v>
      </c>
      <c r="D22" s="19">
        <v>-12625</v>
      </c>
      <c r="E22" s="19">
        <v>-11842</v>
      </c>
      <c r="F22" s="20">
        <f t="shared" si="2"/>
        <v>1289</v>
      </c>
      <c r="G22" s="20">
        <f t="shared" si="2"/>
        <v>783</v>
      </c>
    </row>
    <row r="23" spans="2:7" ht="18" customHeight="1" x14ac:dyDescent="0.3">
      <c r="B23" s="21" t="s">
        <v>122</v>
      </c>
      <c r="C23" s="19">
        <v>0</v>
      </c>
      <c r="D23" s="19">
        <v>-765</v>
      </c>
      <c r="E23" s="19">
        <v>-1538</v>
      </c>
      <c r="F23" s="20">
        <f t="shared" si="2"/>
        <v>-765</v>
      </c>
      <c r="G23" s="20">
        <f t="shared" si="2"/>
        <v>-773</v>
      </c>
    </row>
    <row r="24" spans="2:7" ht="18" customHeight="1" x14ac:dyDescent="0.3">
      <c r="B24" s="22" t="s">
        <v>123</v>
      </c>
      <c r="C24" s="23">
        <f>C20+C21+C22+C23</f>
        <v>-8334</v>
      </c>
      <c r="D24" s="23">
        <f>D20+D21+D22+D23</f>
        <v>-29390</v>
      </c>
      <c r="E24" s="23">
        <f>E20+E21+E22+E23</f>
        <v>-25370</v>
      </c>
      <c r="F24" s="23">
        <f t="shared" si="2"/>
        <v>-21056</v>
      </c>
      <c r="G24" s="23">
        <f t="shared" si="2"/>
        <v>4020</v>
      </c>
    </row>
    <row r="25" spans="2:7" ht="18" customHeight="1" x14ac:dyDescent="0.3"/>
    <row r="26" spans="2:7" ht="18" customHeight="1" x14ac:dyDescent="0.3">
      <c r="B26" s="29" t="s">
        <v>124</v>
      </c>
      <c r="C26" s="24">
        <f>C11+C17+C24</f>
        <v>-1158</v>
      </c>
      <c r="D26" s="24">
        <f>D11+D17+D24</f>
        <v>17231</v>
      </c>
      <c r="E26" s="24">
        <f>E11+E17+E24</f>
        <v>44082</v>
      </c>
      <c r="F26" s="24">
        <f>D26-C26</f>
        <v>18389</v>
      </c>
      <c r="G26" s="24">
        <f>E26-D26</f>
        <v>26851</v>
      </c>
    </row>
    <row r="27" spans="2:7" ht="18" customHeight="1" x14ac:dyDescent="0.3"/>
    <row r="28" spans="2:7" ht="19.5" customHeight="1" x14ac:dyDescent="0.3">
      <c r="B28" s="4" t="s">
        <v>125</v>
      </c>
      <c r="C28" s="4"/>
      <c r="D28" s="4"/>
      <c r="E28" s="4"/>
      <c r="F28" s="4"/>
      <c r="G28" s="4"/>
    </row>
    <row r="29" spans="2:7" ht="18" customHeight="1" x14ac:dyDescent="0.3">
      <c r="B29" s="32" t="s">
        <v>126</v>
      </c>
      <c r="C29" s="20">
        <f>C11</f>
        <v>29396</v>
      </c>
      <c r="D29" s="20">
        <f>D11</f>
        <v>70841</v>
      </c>
      <c r="E29" s="20">
        <f>E11</f>
        <v>94362</v>
      </c>
      <c r="F29" s="20">
        <f t="shared" ref="F29:G31" si="3">D29-C29</f>
        <v>41445</v>
      </c>
      <c r="G29" s="20">
        <f t="shared" si="3"/>
        <v>23521</v>
      </c>
    </row>
    <row r="30" spans="2:7" ht="18" customHeight="1" x14ac:dyDescent="0.3">
      <c r="B30" s="33" t="s">
        <v>127</v>
      </c>
      <c r="C30" s="20">
        <f>C14</f>
        <v>-18640</v>
      </c>
      <c r="D30" s="20">
        <f>D14</f>
        <v>-20420</v>
      </c>
      <c r="E30" s="20">
        <f>E14</f>
        <v>-22840</v>
      </c>
      <c r="F30" s="20">
        <f t="shared" si="3"/>
        <v>-1780</v>
      </c>
      <c r="G30" s="20">
        <f t="shared" si="3"/>
        <v>-2420</v>
      </c>
    </row>
    <row r="31" spans="2:7" ht="18" customHeight="1" x14ac:dyDescent="0.3">
      <c r="B31" s="29" t="s">
        <v>128</v>
      </c>
      <c r="C31" s="24">
        <f>C29-ABS(C30)</f>
        <v>10756</v>
      </c>
      <c r="D31" s="24">
        <f>D29-ABS(D30)</f>
        <v>50421</v>
      </c>
      <c r="E31" s="24">
        <f>E29-ABS(E30)</f>
        <v>71522</v>
      </c>
      <c r="F31" s="24">
        <f t="shared" si="3"/>
        <v>39665</v>
      </c>
      <c r="G31" s="24">
        <f t="shared" si="3"/>
        <v>21101</v>
      </c>
    </row>
  </sheetData>
  <mergeCells count="6">
    <mergeCell ref="B28:G28"/>
    <mergeCell ref="B1:G1"/>
    <mergeCell ref="B2:G2"/>
    <mergeCell ref="B5:G5"/>
    <mergeCell ref="B13:G13"/>
    <mergeCell ref="B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G2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8.6640625" defaultRowHeight="14.4" x14ac:dyDescent="0.3"/>
  <cols>
    <col min="1" max="1" width="3" customWidth="1"/>
    <col min="2" max="2" width="42" customWidth="1"/>
    <col min="3" max="6" width="20" customWidth="1"/>
    <col min="7" max="7" width="35" customWidth="1"/>
  </cols>
  <sheetData>
    <row r="1" spans="1:7" ht="27.75" customHeight="1" x14ac:dyDescent="0.3">
      <c r="B1" s="6" t="s">
        <v>129</v>
      </c>
      <c r="C1" s="6"/>
      <c r="D1" s="6"/>
      <c r="E1" s="6"/>
      <c r="F1" s="6"/>
      <c r="G1" s="6"/>
    </row>
    <row r="2" spans="1:7" ht="15" customHeight="1" x14ac:dyDescent="0.3">
      <c r="B2" s="5" t="s">
        <v>130</v>
      </c>
      <c r="C2" s="5"/>
      <c r="D2" s="5"/>
      <c r="E2" s="5"/>
      <c r="F2" s="5"/>
      <c r="G2" s="5"/>
    </row>
    <row r="3" spans="1:7" ht="21.75" customHeight="1" x14ac:dyDescent="0.3">
      <c r="A3" s="17"/>
      <c r="B3" s="17" t="s">
        <v>131</v>
      </c>
      <c r="C3" s="17" t="s">
        <v>30</v>
      </c>
      <c r="D3" s="17" t="s">
        <v>31</v>
      </c>
      <c r="E3" s="17" t="s">
        <v>32</v>
      </c>
      <c r="F3" s="17" t="s">
        <v>132</v>
      </c>
      <c r="G3" s="17" t="s">
        <v>133</v>
      </c>
    </row>
    <row r="5" spans="1:7" ht="19.5" customHeight="1" x14ac:dyDescent="0.3">
      <c r="B5" s="4" t="s">
        <v>134</v>
      </c>
      <c r="C5" s="4"/>
      <c r="D5" s="4"/>
      <c r="E5" s="4"/>
      <c r="F5" s="4"/>
      <c r="G5" s="4"/>
    </row>
    <row r="6" spans="1:7" ht="19.5" customHeight="1" x14ac:dyDescent="0.3">
      <c r="B6" s="18" t="s">
        <v>58</v>
      </c>
      <c r="C6" s="34">
        <f>'P&amp;L'!C15/'P&amp;L'!C6</f>
        <v>0.34495007597447719</v>
      </c>
      <c r="D6" s="34">
        <f>'P&amp;L'!D15/'P&amp;L'!D6</f>
        <v>0.36909720319321898</v>
      </c>
      <c r="E6" s="34">
        <f>'P&amp;L'!E15/'P&amp;L'!E6</f>
        <v>0.37856923549278476</v>
      </c>
      <c r="F6" s="35" t="str">
        <f>IF(E6&gt;C6,"▲ Improving","▼ Declining")</f>
        <v>▲ Improving</v>
      </c>
      <c r="G6" s="36" t="s">
        <v>135</v>
      </c>
    </row>
    <row r="7" spans="1:7" ht="19.5" customHeight="1" x14ac:dyDescent="0.3">
      <c r="B7" s="37" t="s">
        <v>59</v>
      </c>
      <c r="C7" s="38">
        <f>'P&amp;L'!C22/'P&amp;L'!C6</f>
        <v>7.6202256456388923E-2</v>
      </c>
      <c r="D7" s="38">
        <f>'P&amp;L'!D22/'P&amp;L'!D6</f>
        <v>0.13934710728704261</v>
      </c>
      <c r="E7" s="38">
        <f>'P&amp;L'!E22/'P&amp;L'!E6</f>
        <v>0.14720431207996451</v>
      </c>
      <c r="F7" s="39" t="str">
        <f>IF(E7&gt;C7,"▲ Improving","▼ Declining")</f>
        <v>▲ Improving</v>
      </c>
      <c r="G7" s="40" t="s">
        <v>136</v>
      </c>
    </row>
    <row r="8" spans="1:7" ht="19.5" customHeight="1" x14ac:dyDescent="0.3">
      <c r="B8" s="18" t="s">
        <v>60</v>
      </c>
      <c r="C8" s="34">
        <f>'P&amp;L'!C24/'P&amp;L'!C6</f>
        <v>5.7809801428377839E-3</v>
      </c>
      <c r="D8" s="34">
        <f>'P&amp;L'!D24/'P&amp;L'!D6</f>
        <v>7.5829816773533551E-2</v>
      </c>
      <c r="E8" s="34">
        <f>'P&amp;L'!E24/'P&amp;L'!E6</f>
        <v>8.136321768498618E-2</v>
      </c>
      <c r="F8" s="35" t="str">
        <f>IF(E8&gt;C8,"▲ Improving","▼ Declining")</f>
        <v>▲ Improving</v>
      </c>
      <c r="G8" s="36" t="s">
        <v>137</v>
      </c>
    </row>
    <row r="9" spans="1:7" ht="19.5" customHeight="1" x14ac:dyDescent="0.3">
      <c r="B9" s="37" t="s">
        <v>61</v>
      </c>
      <c r="C9" s="38">
        <f>'P&amp;L'!C28/'P&amp;L'!C6</f>
        <v>-4.8886044050780363E-2</v>
      </c>
      <c r="D9" s="38">
        <f>'P&amp;L'!D28/'P&amp;L'!D6</f>
        <v>2.7260188889497817E-2</v>
      </c>
      <c r="E9" s="38">
        <f>'P&amp;L'!E28/'P&amp;L'!E6</f>
        <v>3.2097249229579593E-2</v>
      </c>
      <c r="F9" s="39" t="str">
        <f>IF(E9&gt;C9,"▲ Improving","▼ Declining")</f>
        <v>▲ Improving</v>
      </c>
      <c r="G9" s="40" t="s">
        <v>138</v>
      </c>
    </row>
    <row r="10" spans="1:7" ht="19.5" customHeight="1" x14ac:dyDescent="0.3">
      <c r="B10" s="4" t="s">
        <v>139</v>
      </c>
      <c r="C10" s="4"/>
      <c r="D10" s="4"/>
      <c r="E10" s="4"/>
      <c r="F10" s="4"/>
      <c r="G10" s="4"/>
    </row>
    <row r="11" spans="1:7" ht="19.5" customHeight="1" x14ac:dyDescent="0.3">
      <c r="B11" s="37" t="s">
        <v>140</v>
      </c>
      <c r="C11" s="38">
        <f>'P&amp;L'!C28/'Balance Sheet'!C11</f>
        <v>-0.69354112979097637</v>
      </c>
      <c r="D11" s="38">
        <f>'P&amp;L'!D28/'Balance Sheet'!D11</f>
        <v>0.22442380719630034</v>
      </c>
      <c r="E11" s="38">
        <f>'P&amp;L'!E28/'Balance Sheet'!E11</f>
        <v>0.17964841711325247</v>
      </c>
      <c r="F11" s="39" t="str">
        <f>IF(E11&gt;C11,"▲ Improving","▼ Declining")</f>
        <v>▲ Improving</v>
      </c>
      <c r="G11" s="40" t="s">
        <v>141</v>
      </c>
    </row>
    <row r="12" spans="1:7" ht="19.5" customHeight="1" x14ac:dyDescent="0.3">
      <c r="B12" s="18" t="s">
        <v>142</v>
      </c>
      <c r="C12" s="34">
        <f>'P&amp;L'!C28/'Balance Sheet'!C44</f>
        <v>-4.8304843304843303E-2</v>
      </c>
      <c r="D12" s="34">
        <f>'P&amp;L'!D28/'Balance Sheet'!D44</f>
        <v>3.2065538544184799E-2</v>
      </c>
      <c r="E12" s="34">
        <f>'P&amp;L'!E28/'Balance Sheet'!E44</f>
        <v>3.5777118665551243E-2</v>
      </c>
      <c r="F12" s="35" t="str">
        <f>IF(E12&gt;C12,"▲ Improving","▼ Declining")</f>
        <v>▲ Improving</v>
      </c>
      <c r="G12" s="36" t="s">
        <v>143</v>
      </c>
    </row>
    <row r="13" spans="1:7" ht="19.5" customHeight="1" x14ac:dyDescent="0.3">
      <c r="B13" s="37" t="s">
        <v>144</v>
      </c>
      <c r="C13" s="38">
        <f>'P&amp;L'!C24/('Balance Sheet'!C44-'Balance Sheet'!C23)</f>
        <v>9.29144075258353E-3</v>
      </c>
      <c r="D13" s="38">
        <f>'P&amp;L'!D24/('Balance Sheet'!D44-'Balance Sheet'!D23)</f>
        <v>0.13879461673493271</v>
      </c>
      <c r="E13" s="38">
        <f>'P&amp;L'!E24/('Balance Sheet'!E44-'Balance Sheet'!E23)</f>
        <v>0.13727935533384497</v>
      </c>
      <c r="F13" s="39" t="str">
        <f>IF(E13&gt;C13,"▲ Improving","▼ Declining")</f>
        <v>▲ Improving</v>
      </c>
      <c r="G13" s="40" t="s">
        <v>145</v>
      </c>
    </row>
    <row r="14" spans="1:7" ht="19.5" customHeight="1" x14ac:dyDescent="0.3">
      <c r="B14" s="4" t="s">
        <v>146</v>
      </c>
      <c r="C14" s="4"/>
      <c r="D14" s="4"/>
      <c r="E14" s="4"/>
      <c r="F14" s="4"/>
      <c r="G14" s="4"/>
    </row>
    <row r="15" spans="1:7" ht="19.5" customHeight="1" x14ac:dyDescent="0.3">
      <c r="B15" s="37" t="s">
        <v>147</v>
      </c>
      <c r="C15" s="41">
        <f>'Balance Sheet'!C42/'Balance Sheet'!C23</f>
        <v>1.0104282227645884</v>
      </c>
      <c r="D15" s="41">
        <f>'Balance Sheet'!D42/'Balance Sheet'!D23</f>
        <v>1.1217678893565846</v>
      </c>
      <c r="E15" s="41">
        <f>'Balance Sheet'!E42/'Balance Sheet'!E23</f>
        <v>1.2050496750578921</v>
      </c>
      <c r="F15" s="39" t="str">
        <f>IF(E15&gt;C15,"▲ Improving","▼ Declining")</f>
        <v>▲ Improving</v>
      </c>
      <c r="G15" s="40" t="s">
        <v>148</v>
      </c>
    </row>
    <row r="16" spans="1:7" ht="19.5" customHeight="1" x14ac:dyDescent="0.3">
      <c r="B16" s="18" t="s">
        <v>149</v>
      </c>
      <c r="C16" s="42">
        <f>('Balance Sheet'!C42-'Balance Sheet'!C38)/'Balance Sheet'!C23</f>
        <v>0.65675615708897273</v>
      </c>
      <c r="D16" s="42">
        <f>('Balance Sheet'!D42-'Balance Sheet'!D38)/'Balance Sheet'!D23</f>
        <v>0.75616355983162964</v>
      </c>
      <c r="E16" s="42">
        <f>('Balance Sheet'!E42-'Balance Sheet'!E38)/'Balance Sheet'!E23</f>
        <v>0.83289758721147378</v>
      </c>
      <c r="F16" s="35" t="str">
        <f>IF(E16&gt;C16,"▲ Improving","▼ Declining")</f>
        <v>▲ Improving</v>
      </c>
      <c r="G16" s="36" t="s">
        <v>150</v>
      </c>
    </row>
    <row r="17" spans="2:7" ht="19.5" customHeight="1" x14ac:dyDescent="0.3">
      <c r="B17" s="37" t="s">
        <v>151</v>
      </c>
      <c r="C17" s="41">
        <f>'Balance Sheet'!C40/'Balance Sheet'!C23</f>
        <v>0.26196287256859702</v>
      </c>
      <c r="D17" s="41">
        <f>'Balance Sheet'!D40/'Balance Sheet'!D23</f>
        <v>0.32200841852074563</v>
      </c>
      <c r="E17" s="41">
        <f>'Balance Sheet'!E40/'Balance Sheet'!E23</f>
        <v>0.37065810114289982</v>
      </c>
      <c r="F17" s="39" t="str">
        <f>IF(E17&gt;C17,"▲ Improving","▼ Declining")</f>
        <v>▲ Improving</v>
      </c>
      <c r="G17" s="40" t="s">
        <v>152</v>
      </c>
    </row>
    <row r="18" spans="2:7" ht="19.5" customHeight="1" x14ac:dyDescent="0.3">
      <c r="B18" s="4" t="s">
        <v>153</v>
      </c>
      <c r="C18" s="4"/>
      <c r="D18" s="4"/>
      <c r="E18" s="4"/>
      <c r="F18" s="4"/>
      <c r="G18" s="4"/>
    </row>
    <row r="19" spans="2:7" ht="19.5" customHeight="1" x14ac:dyDescent="0.3">
      <c r="B19" s="37" t="s">
        <v>154</v>
      </c>
      <c r="C19" s="41">
        <f>('Balance Sheet'!C14+'Balance Sheet'!C20)/'Balance Sheet'!C11</f>
        <v>5.5916881416942772</v>
      </c>
      <c r="D19" s="41">
        <f>('Balance Sheet'!D14+'Balance Sheet'!D20)/'Balance Sheet'!D11</f>
        <v>2.0472233710568859</v>
      </c>
      <c r="E19" s="41">
        <f>('Balance Sheet'!E14+'Balance Sheet'!E20)/'Balance Sheet'!E11</f>
        <v>1.189297216105093</v>
      </c>
      <c r="F19" s="39" t="str">
        <f>IF(E19&gt;C19,"▲ Improving","▼ Declining")</f>
        <v>▼ Declining</v>
      </c>
      <c r="G19" s="40" t="s">
        <v>155</v>
      </c>
    </row>
    <row r="20" spans="2:7" ht="19.5" customHeight="1" x14ac:dyDescent="0.3">
      <c r="B20" s="18" t="s">
        <v>156</v>
      </c>
      <c r="C20" s="42">
        <f>('Balance Sheet'!C14+'Balance Sheet'!C20)/'P&amp;L'!C22</f>
        <v>5.1723485565098946</v>
      </c>
      <c r="D20" s="42">
        <f>('Balance Sheet'!D14+'Balance Sheet'!D20)/'P&amp;L'!D22</f>
        <v>1.7845437860513895</v>
      </c>
      <c r="E20" s="42">
        <f>('Balance Sheet'!E14+'Balance Sheet'!E20)/'P&amp;L'!E22</f>
        <v>1.4434916956353805</v>
      </c>
      <c r="F20" s="35" t="str">
        <f>IF(E20&gt;C20,"▲ Improving","▼ Declining")</f>
        <v>▼ Declining</v>
      </c>
      <c r="G20" s="36" t="s">
        <v>157</v>
      </c>
    </row>
    <row r="21" spans="2:7" ht="19.5" customHeight="1" x14ac:dyDescent="0.3">
      <c r="B21" s="37" t="s">
        <v>158</v>
      </c>
      <c r="C21" s="41">
        <f>'P&amp;L'!C24/'P&amp;L'!C25</f>
        <v>0.14409946816156388</v>
      </c>
      <c r="D21" s="41">
        <f>'P&amp;L'!D24/'P&amp;L'!D25</f>
        <v>2.6303366336633665</v>
      </c>
      <c r="E21" s="41">
        <f>'P&amp;L'!E24/'P&amp;L'!E25</f>
        <v>3.0210268535720317</v>
      </c>
      <c r="F21" s="39" t="str">
        <f>IF(E21&gt;C21,"▲ Improving","▼ Declining")</f>
        <v>▲ Improving</v>
      </c>
      <c r="G21" s="40" t="s">
        <v>159</v>
      </c>
    </row>
    <row r="22" spans="2:7" ht="19.5" customHeight="1" x14ac:dyDescent="0.3">
      <c r="B22" s="4" t="s">
        <v>160</v>
      </c>
      <c r="C22" s="4"/>
      <c r="D22" s="4"/>
      <c r="E22" s="4"/>
      <c r="F22" s="4"/>
      <c r="G22" s="4"/>
    </row>
    <row r="23" spans="2:7" ht="19.5" customHeight="1" x14ac:dyDescent="0.3">
      <c r="B23" s="37" t="s">
        <v>161</v>
      </c>
      <c r="C23" s="41">
        <f>'P&amp;L'!C6/'Balance Sheet'!C44</f>
        <v>0.98811111111111116</v>
      </c>
      <c r="D23" s="41">
        <f>'P&amp;L'!D6/'Balance Sheet'!D44</f>
        <v>1.1762771958098308</v>
      </c>
      <c r="E23" s="41">
        <f>'P&amp;L'!E6/'Balance Sheet'!E44</f>
        <v>1.1146475017111568</v>
      </c>
      <c r="F23" s="39" t="str">
        <f>IF(E23&gt;C23,"▲ Improving","▼ Declining")</f>
        <v>▲ Improving</v>
      </c>
      <c r="G23" s="40" t="s">
        <v>162</v>
      </c>
    </row>
    <row r="24" spans="2:7" ht="19.5" customHeight="1" x14ac:dyDescent="0.3">
      <c r="B24" s="18" t="s">
        <v>163</v>
      </c>
      <c r="C24" s="42">
        <f>'P&amp;L'!C6/'Balance Sheet'!C38</f>
        <v>7.2527603513174403</v>
      </c>
      <c r="D24" s="42">
        <f>'P&amp;L'!D6/'Balance Sheet'!D38</f>
        <v>9.0034539473684205</v>
      </c>
      <c r="E24" s="42">
        <f>'P&amp;L'!E6/'Balance Sheet'!E38</f>
        <v>8.8256724207145716</v>
      </c>
      <c r="F24" s="35" t="str">
        <f>IF(E24&gt;C24,"▲ Improving","▼ Declining")</f>
        <v>▲ Improving</v>
      </c>
      <c r="G24" s="36" t="s">
        <v>164</v>
      </c>
    </row>
    <row r="25" spans="2:7" ht="19.5" customHeight="1" x14ac:dyDescent="0.3">
      <c r="B25" s="37" t="s">
        <v>165</v>
      </c>
      <c r="C25" s="41">
        <f>'P&amp;L'!C6/'Balance Sheet'!C39</f>
        <v>12.109881284916201</v>
      </c>
      <c r="D25" s="41">
        <f>'P&amp;L'!D6/'Balance Sheet'!D39</f>
        <v>13.93787396562699</v>
      </c>
      <c r="E25" s="41">
        <f>'P&amp;L'!E6/'Balance Sheet'!E39</f>
        <v>12.993351063829786</v>
      </c>
      <c r="F25" s="39" t="str">
        <f>IF(E25&gt;C25,"▲ Improving","▼ Declining")</f>
        <v>▲ Improving</v>
      </c>
      <c r="G25" s="40" t="s">
        <v>166</v>
      </c>
    </row>
    <row r="26" spans="2:7" ht="19.5" customHeight="1" x14ac:dyDescent="0.3">
      <c r="B26" s="4" t="s">
        <v>167</v>
      </c>
      <c r="C26" s="4"/>
      <c r="D26" s="4"/>
      <c r="E26" s="4"/>
      <c r="F26" s="4"/>
      <c r="G26" s="4"/>
    </row>
    <row r="27" spans="2:7" ht="19.5" customHeight="1" x14ac:dyDescent="0.3">
      <c r="B27" s="37" t="s">
        <v>168</v>
      </c>
      <c r="C27" s="38">
        <f>'Cash Flow'!C11/'P&amp;L'!C6</f>
        <v>8.4756953755042136E-2</v>
      </c>
      <c r="D27" s="38">
        <f>'Cash Flow'!D11/'P&amp;L'!D6</f>
        <v>0.16176403427047367</v>
      </c>
      <c r="E27" s="38">
        <f>'Cash Flow'!E11/'P&amp;L'!E6</f>
        <v>0.21460785317094805</v>
      </c>
      <c r="F27" s="39" t="str">
        <f>IF(E27&gt;C27,"▲ Improving","▼ Declining")</f>
        <v>▲ Improving</v>
      </c>
      <c r="G27" s="40" t="s">
        <v>169</v>
      </c>
    </row>
    <row r="28" spans="2:7" ht="19.5" customHeight="1" x14ac:dyDescent="0.3">
      <c r="B28" s="18" t="s">
        <v>170</v>
      </c>
      <c r="C28" s="43">
        <f>'Cash Flow'!C31</f>
        <v>10756</v>
      </c>
      <c r="D28" s="43">
        <f>'Cash Flow'!D31</f>
        <v>50421</v>
      </c>
      <c r="E28" s="43">
        <f>'Cash Flow'!E31</f>
        <v>71522</v>
      </c>
      <c r="F28" s="35" t="str">
        <f>IF(E28&gt;C28,"▲ Improving","▼ Declining")</f>
        <v>▲ Improving</v>
      </c>
      <c r="G28" s="36" t="s">
        <v>171</v>
      </c>
    </row>
  </sheetData>
  <mergeCells count="8">
    <mergeCell ref="B18:G18"/>
    <mergeCell ref="B22:G22"/>
    <mergeCell ref="B26:G26"/>
    <mergeCell ref="B1:G1"/>
    <mergeCell ref="B2:G2"/>
    <mergeCell ref="B5:G5"/>
    <mergeCell ref="B10:G10"/>
    <mergeCell ref="B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N6"/>
  <sheetViews>
    <sheetView showGridLines="0" zoomScaleNormal="100" workbookViewId="0">
      <selection activeCell="P29" sqref="P29"/>
    </sheetView>
  </sheetViews>
  <sheetFormatPr defaultColWidth="8.6640625" defaultRowHeight="14.4" x14ac:dyDescent="0.3"/>
  <cols>
    <col min="1" max="1" width="3" customWidth="1"/>
  </cols>
  <sheetData>
    <row r="1" spans="1:14" ht="30" customHeight="1" x14ac:dyDescent="0.3">
      <c r="A1" s="2" t="s">
        <v>172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spans="1:14" ht="23.25" customHeight="1" x14ac:dyDescent="0.3">
      <c r="A3" s="17" t="s">
        <v>173</v>
      </c>
      <c r="B3" s="17" t="s">
        <v>174</v>
      </c>
      <c r="C3" s="17" t="s">
        <v>175</v>
      </c>
      <c r="D3" s="17" t="s">
        <v>176</v>
      </c>
      <c r="E3" s="17" t="s">
        <v>177</v>
      </c>
      <c r="F3" s="17" t="s">
        <v>59</v>
      </c>
    </row>
    <row r="4" spans="1:14" ht="57" customHeight="1" x14ac:dyDescent="0.3">
      <c r="A4" s="44" t="s">
        <v>30</v>
      </c>
      <c r="B4" s="45">
        <f>'P&amp;L'!C6</f>
        <v>346827</v>
      </c>
      <c r="C4" s="45">
        <f>'P&amp;L'!C28</f>
        <v>-16955</v>
      </c>
      <c r="D4" s="46">
        <f>'P&amp;L'!C28/'P&amp;L'!C6</f>
        <v>-4.8886044050780363E-2</v>
      </c>
      <c r="E4" s="47">
        <f>('Balance Sheet'!C14+'Balance Sheet'!C20)/'Balance Sheet'!C11</f>
        <v>5.5916881416942772</v>
      </c>
      <c r="F4" s="46">
        <f>'P&amp;L'!C22/'P&amp;L'!C6</f>
        <v>7.6202256456388923E-2</v>
      </c>
    </row>
    <row r="5" spans="1:14" ht="57" customHeight="1" x14ac:dyDescent="0.3">
      <c r="A5" s="48" t="s">
        <v>31</v>
      </c>
      <c r="B5" s="49">
        <f>'P&amp;L'!D6</f>
        <v>437928</v>
      </c>
      <c r="C5" s="49">
        <f>'P&amp;L'!D28</f>
        <v>11938</v>
      </c>
      <c r="D5" s="50">
        <f>'P&amp;L'!D28/'P&amp;L'!D6</f>
        <v>2.7260188889497817E-2</v>
      </c>
      <c r="E5" s="51">
        <f>('Balance Sheet'!D14+'Balance Sheet'!D20)/'Balance Sheet'!D11</f>
        <v>2.0472233710568859</v>
      </c>
      <c r="F5" s="50">
        <f>'P&amp;L'!D22/'P&amp;L'!D6</f>
        <v>0.13934710728704261</v>
      </c>
    </row>
    <row r="6" spans="1:14" ht="57" customHeight="1" x14ac:dyDescent="0.3">
      <c r="A6" s="44" t="s">
        <v>32</v>
      </c>
      <c r="B6" s="45">
        <f>'P&amp;L'!E6</f>
        <v>439695</v>
      </c>
      <c r="C6" s="45">
        <f>'P&amp;L'!E28</f>
        <v>14113</v>
      </c>
      <c r="D6" s="46">
        <f>'P&amp;L'!E28/'P&amp;L'!E6</f>
        <v>3.2097249229579593E-2</v>
      </c>
      <c r="E6" s="47">
        <f>('Balance Sheet'!E14+'Balance Sheet'!E20)/'Balance Sheet'!E11</f>
        <v>1.189297216105093</v>
      </c>
      <c r="F6" s="46">
        <f>'P&amp;L'!E22/'P&amp;L'!E6</f>
        <v>0.14720431207996451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75623"/>
  </sheetPr>
  <dimension ref="A1:D88"/>
  <sheetViews>
    <sheetView showGridLines="0" tabSelected="1" zoomScaleNormal="100" workbookViewId="0">
      <pane ySplit="3" topLeftCell="A82" activePane="bottomLeft" state="frozen"/>
      <selection pane="bottomLeft" activeCell="D48" sqref="D48"/>
    </sheetView>
  </sheetViews>
  <sheetFormatPr defaultColWidth="8.6640625" defaultRowHeight="14.4" x14ac:dyDescent="0.3"/>
  <cols>
    <col min="1" max="1" width="5" customWidth="1"/>
    <col min="2" max="2" width="8" customWidth="1"/>
    <col min="3" max="3" width="55" customWidth="1"/>
    <col min="4" max="4" width="69.44140625" customWidth="1"/>
  </cols>
  <sheetData>
    <row r="1" spans="1:4" ht="27.75" customHeight="1" x14ac:dyDescent="0.3">
      <c r="A1" s="6" t="s">
        <v>178</v>
      </c>
      <c r="B1" s="6"/>
      <c r="C1" s="6"/>
      <c r="D1" s="6"/>
    </row>
    <row r="2" spans="1:4" ht="15" customHeight="1" x14ac:dyDescent="0.3">
      <c r="A2" s="5" t="s">
        <v>179</v>
      </c>
      <c r="B2" s="5"/>
      <c r="C2" s="5"/>
      <c r="D2" s="5"/>
    </row>
    <row r="3" spans="1:4" ht="21.75" customHeight="1" x14ac:dyDescent="0.3">
      <c r="A3" s="17"/>
      <c r="B3" s="17" t="s">
        <v>180</v>
      </c>
      <c r="C3" s="17" t="s">
        <v>181</v>
      </c>
      <c r="D3" s="17" t="s">
        <v>182</v>
      </c>
    </row>
    <row r="4" spans="1:4" ht="19.5" customHeight="1" x14ac:dyDescent="0.3">
      <c r="A4" s="1" t="s">
        <v>183</v>
      </c>
      <c r="B4" s="1"/>
      <c r="C4" s="1"/>
      <c r="D4" s="1"/>
    </row>
    <row r="5" spans="1:4" ht="19.5" customHeight="1" x14ac:dyDescent="0.3">
      <c r="B5" s="52" t="s">
        <v>184</v>
      </c>
      <c r="C5" s="37" t="s">
        <v>185</v>
      </c>
      <c r="D5" s="53">
        <f>'P&amp;L'!C6</f>
        <v>346827</v>
      </c>
    </row>
    <row r="6" spans="1:4" ht="19.5" customHeight="1" x14ac:dyDescent="0.3">
      <c r="B6" s="54" t="s">
        <v>184</v>
      </c>
      <c r="C6" s="18" t="s">
        <v>186</v>
      </c>
      <c r="D6" s="55">
        <f>'P&amp;L'!D6</f>
        <v>437928</v>
      </c>
    </row>
    <row r="7" spans="1:4" ht="19.5" customHeight="1" x14ac:dyDescent="0.3">
      <c r="B7" s="52" t="s">
        <v>184</v>
      </c>
      <c r="C7" s="37" t="s">
        <v>187</v>
      </c>
      <c r="D7" s="53">
        <f>'P&amp;L'!E6</f>
        <v>439695</v>
      </c>
    </row>
    <row r="8" spans="1:4" ht="19.5" customHeight="1" x14ac:dyDescent="0.3">
      <c r="B8" s="54" t="s">
        <v>188</v>
      </c>
      <c r="C8" s="18" t="s">
        <v>189</v>
      </c>
      <c r="D8" s="56">
        <f>('P&amp;L'!D6-'P&amp;L'!C6)/'P&amp;L'!C6</f>
        <v>0.26266986134297504</v>
      </c>
    </row>
    <row r="9" spans="1:4" ht="19.5" customHeight="1" x14ac:dyDescent="0.3">
      <c r="B9" s="52" t="s">
        <v>188</v>
      </c>
      <c r="C9" s="37" t="s">
        <v>190</v>
      </c>
      <c r="D9" s="57">
        <f>('P&amp;L'!E6-'P&amp;L'!D6)/'P&amp;L'!D6</f>
        <v>4.0349098481942238E-3</v>
      </c>
    </row>
    <row r="10" spans="1:4" ht="55.2" customHeight="1" x14ac:dyDescent="0.3">
      <c r="B10" s="54" t="s">
        <v>191</v>
      </c>
      <c r="C10" s="18" t="s">
        <v>192</v>
      </c>
      <c r="D10" s="58" t="s">
        <v>193</v>
      </c>
    </row>
    <row r="11" spans="1:4" ht="19.5" customHeight="1" x14ac:dyDescent="0.3">
      <c r="A11" s="1" t="s">
        <v>194</v>
      </c>
      <c r="B11" s="1"/>
      <c r="C11" s="1"/>
      <c r="D11" s="1"/>
    </row>
    <row r="12" spans="1:4" ht="19.5" customHeight="1" x14ac:dyDescent="0.3">
      <c r="B12" s="54" t="s">
        <v>195</v>
      </c>
      <c r="C12" s="18" t="s">
        <v>196</v>
      </c>
      <c r="D12" s="55">
        <f>'P&amp;L'!C15</f>
        <v>119638</v>
      </c>
    </row>
    <row r="13" spans="1:4" ht="19.5" customHeight="1" x14ac:dyDescent="0.3">
      <c r="B13" s="52" t="s">
        <v>195</v>
      </c>
      <c r="C13" s="37" t="s">
        <v>197</v>
      </c>
      <c r="D13" s="53">
        <f>'P&amp;L'!D15</f>
        <v>161638</v>
      </c>
    </row>
    <row r="14" spans="1:4" ht="19.5" customHeight="1" x14ac:dyDescent="0.3">
      <c r="B14" s="54" t="s">
        <v>195</v>
      </c>
      <c r="C14" s="18" t="s">
        <v>198</v>
      </c>
      <c r="D14" s="55">
        <f>'P&amp;L'!E15</f>
        <v>166455</v>
      </c>
    </row>
    <row r="15" spans="1:4" ht="19.5" customHeight="1" x14ac:dyDescent="0.3">
      <c r="B15" s="52" t="s">
        <v>199</v>
      </c>
      <c r="C15" s="37" t="s">
        <v>200</v>
      </c>
      <c r="D15" s="57">
        <f>'P&amp;L'!C15/'P&amp;L'!C6</f>
        <v>0.34495007597447719</v>
      </c>
    </row>
    <row r="16" spans="1:4" ht="19.5" customHeight="1" x14ac:dyDescent="0.3">
      <c r="B16" s="54" t="s">
        <v>199</v>
      </c>
      <c r="C16" s="18" t="s">
        <v>201</v>
      </c>
      <c r="D16" s="56">
        <f>'P&amp;L'!D15/'P&amp;L'!D6</f>
        <v>0.36909720319321898</v>
      </c>
    </row>
    <row r="17" spans="1:4" ht="19.5" customHeight="1" x14ac:dyDescent="0.3">
      <c r="B17" s="52" t="s">
        <v>199</v>
      </c>
      <c r="C17" s="37" t="s">
        <v>202</v>
      </c>
      <c r="D17" s="57">
        <f>'P&amp;L'!E15/'P&amp;L'!E6</f>
        <v>0.37856923549278476</v>
      </c>
    </row>
    <row r="18" spans="1:4" ht="45" customHeight="1" x14ac:dyDescent="0.3">
      <c r="B18" s="54" t="s">
        <v>203</v>
      </c>
      <c r="C18" s="18" t="s">
        <v>204</v>
      </c>
      <c r="D18" s="58" t="s">
        <v>205</v>
      </c>
    </row>
    <row r="19" spans="1:4" ht="19.5" customHeight="1" x14ac:dyDescent="0.3">
      <c r="B19" s="52" t="s">
        <v>206</v>
      </c>
      <c r="C19" s="37" t="s">
        <v>207</v>
      </c>
      <c r="D19" s="53">
        <f>'P&amp;L'!C24</f>
        <v>2005</v>
      </c>
    </row>
    <row r="20" spans="1:4" ht="19.5" customHeight="1" x14ac:dyDescent="0.3">
      <c r="B20" s="54" t="s">
        <v>206</v>
      </c>
      <c r="C20" s="18" t="s">
        <v>208</v>
      </c>
      <c r="D20" s="55">
        <f>'P&amp;L'!D24</f>
        <v>33208</v>
      </c>
    </row>
    <row r="21" spans="1:4" ht="19.5" customHeight="1" x14ac:dyDescent="0.3">
      <c r="B21" s="52" t="s">
        <v>206</v>
      </c>
      <c r="C21" s="37" t="s">
        <v>209</v>
      </c>
      <c r="D21" s="53">
        <f>'P&amp;L'!E24</f>
        <v>35775</v>
      </c>
    </row>
    <row r="22" spans="1:4" ht="19.5" customHeight="1" x14ac:dyDescent="0.3">
      <c r="B22" s="54" t="s">
        <v>210</v>
      </c>
      <c r="C22" s="18" t="s">
        <v>211</v>
      </c>
      <c r="D22" s="56">
        <f>'P&amp;L'!C24/'P&amp;L'!C6</f>
        <v>5.7809801428377839E-3</v>
      </c>
    </row>
    <row r="23" spans="1:4" ht="19.5" customHeight="1" x14ac:dyDescent="0.3">
      <c r="B23" s="52" t="s">
        <v>210</v>
      </c>
      <c r="C23" s="37" t="s">
        <v>212</v>
      </c>
      <c r="D23" s="57">
        <f>'P&amp;L'!D24/'P&amp;L'!D6</f>
        <v>7.5829816773533551E-2</v>
      </c>
    </row>
    <row r="24" spans="1:4" ht="19.5" customHeight="1" x14ac:dyDescent="0.3">
      <c r="B24" s="54" t="s">
        <v>210</v>
      </c>
      <c r="C24" s="18" t="s">
        <v>213</v>
      </c>
      <c r="D24" s="56">
        <f>'P&amp;L'!E24/'P&amp;L'!E6</f>
        <v>8.136321768498618E-2</v>
      </c>
    </row>
    <row r="25" spans="1:4" ht="19.5" customHeight="1" x14ac:dyDescent="0.3">
      <c r="B25" s="52" t="s">
        <v>214</v>
      </c>
      <c r="C25" s="37" t="s">
        <v>215</v>
      </c>
      <c r="D25" s="57">
        <f>'P&amp;L'!C28/'P&amp;L'!C6</f>
        <v>-4.8886044050780363E-2</v>
      </c>
    </row>
    <row r="26" spans="1:4" ht="19.5" customHeight="1" x14ac:dyDescent="0.3">
      <c r="B26" s="54" t="s">
        <v>214</v>
      </c>
      <c r="C26" s="18" t="s">
        <v>216</v>
      </c>
      <c r="D26" s="56">
        <f>'P&amp;L'!D28/'P&amp;L'!D6</f>
        <v>2.7260188889497817E-2</v>
      </c>
    </row>
    <row r="27" spans="1:4" ht="19.5" customHeight="1" x14ac:dyDescent="0.3">
      <c r="B27" s="52" t="s">
        <v>214</v>
      </c>
      <c r="C27" s="37" t="s">
        <v>217</v>
      </c>
      <c r="D27" s="57">
        <f>'P&amp;L'!E28/'P&amp;L'!E6</f>
        <v>3.2097249229579593E-2</v>
      </c>
    </row>
    <row r="28" spans="1:4" ht="45" customHeight="1" x14ac:dyDescent="0.3">
      <c r="B28" s="54" t="s">
        <v>218</v>
      </c>
      <c r="C28" s="18" t="s">
        <v>219</v>
      </c>
      <c r="D28" s="58" t="s">
        <v>220</v>
      </c>
    </row>
    <row r="29" spans="1:4" ht="19.5" customHeight="1" x14ac:dyDescent="0.3">
      <c r="A29" s="1" t="s">
        <v>221</v>
      </c>
      <c r="B29" s="1"/>
      <c r="C29" s="1"/>
      <c r="D29" s="1"/>
    </row>
    <row r="30" spans="1:4" ht="19.5" customHeight="1" x14ac:dyDescent="0.3">
      <c r="B30" s="54" t="s">
        <v>222</v>
      </c>
      <c r="C30" s="18" t="s">
        <v>223</v>
      </c>
      <c r="D30" s="56">
        <f>1-'P&amp;L'!C15/'P&amp;L'!C6</f>
        <v>0.65504992402552276</v>
      </c>
    </row>
    <row r="31" spans="1:4" ht="19.5" customHeight="1" x14ac:dyDescent="0.3">
      <c r="B31" s="52" t="s">
        <v>222</v>
      </c>
      <c r="C31" s="37" t="s">
        <v>224</v>
      </c>
      <c r="D31" s="57">
        <f>1-'P&amp;L'!D15/'P&amp;L'!D6</f>
        <v>0.63090279680678107</v>
      </c>
    </row>
    <row r="32" spans="1:4" ht="19.5" customHeight="1" x14ac:dyDescent="0.3">
      <c r="B32" s="54" t="s">
        <v>222</v>
      </c>
      <c r="C32" s="18" t="s">
        <v>225</v>
      </c>
      <c r="D32" s="56">
        <f>1-'P&amp;L'!E15/'P&amp;L'!E6</f>
        <v>0.62143076450721524</v>
      </c>
    </row>
    <row r="33" spans="1:4" ht="45" customHeight="1" x14ac:dyDescent="0.3">
      <c r="B33" s="52" t="s">
        <v>226</v>
      </c>
      <c r="C33" s="37" t="s">
        <v>227</v>
      </c>
      <c r="D33" s="59" t="s">
        <v>228</v>
      </c>
    </row>
    <row r="34" spans="1:4" ht="19.5" customHeight="1" x14ac:dyDescent="0.3">
      <c r="B34" s="54" t="s">
        <v>229</v>
      </c>
      <c r="C34" s="18" t="s">
        <v>230</v>
      </c>
      <c r="D34" s="55">
        <f>'P&amp;L'!C25</f>
        <v>13914</v>
      </c>
    </row>
    <row r="35" spans="1:4" ht="19.5" customHeight="1" x14ac:dyDescent="0.3">
      <c r="B35" s="52" t="s">
        <v>229</v>
      </c>
      <c r="C35" s="37" t="s">
        <v>231</v>
      </c>
      <c r="D35" s="53">
        <f>'P&amp;L'!D25</f>
        <v>12625</v>
      </c>
    </row>
    <row r="36" spans="1:4" ht="19.5" customHeight="1" x14ac:dyDescent="0.3">
      <c r="B36" s="54" t="s">
        <v>229</v>
      </c>
      <c r="C36" s="18" t="s">
        <v>232</v>
      </c>
      <c r="D36" s="55">
        <f>'P&amp;L'!E25</f>
        <v>11842</v>
      </c>
    </row>
    <row r="37" spans="1:4" ht="45" customHeight="1" x14ac:dyDescent="0.3">
      <c r="B37" s="52" t="s">
        <v>233</v>
      </c>
      <c r="C37" s="37" t="s">
        <v>234</v>
      </c>
      <c r="D37" s="59" t="s">
        <v>235</v>
      </c>
    </row>
    <row r="38" spans="1:4" ht="19.5" customHeight="1" x14ac:dyDescent="0.3">
      <c r="A38" s="1" t="s">
        <v>236</v>
      </c>
      <c r="B38" s="1"/>
      <c r="C38" s="1"/>
      <c r="D38" s="1"/>
    </row>
    <row r="39" spans="1:4" ht="19.5" customHeight="1" x14ac:dyDescent="0.3">
      <c r="B39" s="52" t="s">
        <v>237</v>
      </c>
      <c r="C39" s="37" t="s">
        <v>238</v>
      </c>
      <c r="D39" s="53">
        <f>'Balance Sheet'!C44</f>
        <v>351000</v>
      </c>
    </row>
    <row r="40" spans="1:4" ht="19.5" customHeight="1" x14ac:dyDescent="0.3">
      <c r="B40" s="54" t="s">
        <v>237</v>
      </c>
      <c r="C40" s="18" t="s">
        <v>239</v>
      </c>
      <c r="D40" s="55">
        <f>'Balance Sheet'!D44</f>
        <v>372300</v>
      </c>
    </row>
    <row r="41" spans="1:4" ht="19.5" customHeight="1" x14ac:dyDescent="0.3">
      <c r="B41" s="52" t="s">
        <v>237</v>
      </c>
      <c r="C41" s="37" t="s">
        <v>240</v>
      </c>
      <c r="D41" s="53">
        <f>'Balance Sheet'!E44</f>
        <v>394470</v>
      </c>
    </row>
    <row r="42" spans="1:4" ht="19.5" customHeight="1" x14ac:dyDescent="0.3">
      <c r="B42" s="54" t="s">
        <v>241</v>
      </c>
      <c r="C42" s="18" t="s">
        <v>242</v>
      </c>
      <c r="D42" s="55">
        <f>'Balance Sheet'!C25</f>
        <v>257900</v>
      </c>
    </row>
    <row r="43" spans="1:4" ht="19.5" customHeight="1" x14ac:dyDescent="0.3">
      <c r="B43" s="52" t="s">
        <v>241</v>
      </c>
      <c r="C43" s="37" t="s">
        <v>243</v>
      </c>
      <c r="D43" s="53">
        <f>'Balance Sheet'!D25</f>
        <v>242350</v>
      </c>
    </row>
    <row r="44" spans="1:4" ht="19.5" customHeight="1" x14ac:dyDescent="0.3">
      <c r="B44" s="54" t="s">
        <v>241</v>
      </c>
      <c r="C44" s="18" t="s">
        <v>244</v>
      </c>
      <c r="D44" s="55">
        <f>'Balance Sheet'!E25</f>
        <v>232970</v>
      </c>
    </row>
    <row r="45" spans="1:4" ht="19.5" customHeight="1" x14ac:dyDescent="0.3">
      <c r="B45" s="52" t="s">
        <v>245</v>
      </c>
      <c r="C45" s="37" t="s">
        <v>246</v>
      </c>
      <c r="D45" s="53">
        <f>'Balance Sheet'!C11</f>
        <v>24447</v>
      </c>
    </row>
    <row r="46" spans="1:4" ht="19.5" customHeight="1" x14ac:dyDescent="0.3">
      <c r="B46" s="54" t="s">
        <v>245</v>
      </c>
      <c r="C46" s="18" t="s">
        <v>247</v>
      </c>
      <c r="D46" s="55">
        <f>'Balance Sheet'!D11</f>
        <v>53194</v>
      </c>
    </row>
    <row r="47" spans="1:4" ht="19.5" customHeight="1" x14ac:dyDescent="0.3">
      <c r="B47" s="52" t="s">
        <v>245</v>
      </c>
      <c r="C47" s="37" t="s">
        <v>248</v>
      </c>
      <c r="D47" s="53">
        <f>'Balance Sheet'!E11</f>
        <v>78559</v>
      </c>
    </row>
    <row r="48" spans="1:4" ht="19.5" customHeight="1" x14ac:dyDescent="0.3">
      <c r="B48" s="54" t="s">
        <v>249</v>
      </c>
      <c r="C48" s="18" t="s">
        <v>250</v>
      </c>
      <c r="D48" s="55" t="str">
        <f>'Balance Sheet'!C46</f>
        <v>✘ CHECK</v>
      </c>
    </row>
    <row r="49" spans="1:4" ht="19.5" customHeight="1" x14ac:dyDescent="0.3">
      <c r="B49" s="52" t="s">
        <v>249</v>
      </c>
      <c r="C49" s="37" t="s">
        <v>251</v>
      </c>
      <c r="D49" s="53" t="str">
        <f>'Balance Sheet'!D46</f>
        <v>✘ CHECK</v>
      </c>
    </row>
    <row r="50" spans="1:4" ht="19.5" customHeight="1" x14ac:dyDescent="0.3">
      <c r="B50" s="54" t="s">
        <v>249</v>
      </c>
      <c r="C50" s="18" t="s">
        <v>252</v>
      </c>
      <c r="D50" s="55" t="str">
        <f>'Balance Sheet'!E46</f>
        <v>✘ CHECK</v>
      </c>
    </row>
    <row r="51" spans="1:4" ht="19.5" customHeight="1" x14ac:dyDescent="0.3">
      <c r="A51" s="1" t="s">
        <v>253</v>
      </c>
      <c r="B51" s="1"/>
      <c r="C51" s="1"/>
      <c r="D51" s="1"/>
    </row>
    <row r="52" spans="1:4" ht="19.5" customHeight="1" x14ac:dyDescent="0.3">
      <c r="B52" s="54" t="s">
        <v>254</v>
      </c>
      <c r="C52" s="18" t="s">
        <v>255</v>
      </c>
      <c r="D52" s="60">
        <f>('Balance Sheet'!C14+'Balance Sheet'!C20)/'Balance Sheet'!C11</f>
        <v>5.5916881416942772</v>
      </c>
    </row>
    <row r="53" spans="1:4" ht="19.5" customHeight="1" x14ac:dyDescent="0.3">
      <c r="B53" s="52" t="s">
        <v>254</v>
      </c>
      <c r="C53" s="37" t="s">
        <v>256</v>
      </c>
      <c r="D53" s="61">
        <f>('Balance Sheet'!D14+'Balance Sheet'!D20)/'Balance Sheet'!D11</f>
        <v>2.0472233710568859</v>
      </c>
    </row>
    <row r="54" spans="1:4" ht="19.5" customHeight="1" x14ac:dyDescent="0.3">
      <c r="B54" s="54" t="s">
        <v>254</v>
      </c>
      <c r="C54" s="18" t="s">
        <v>257</v>
      </c>
      <c r="D54" s="60">
        <f>('Balance Sheet'!E14+'Balance Sheet'!E20)/'Balance Sheet'!E11</f>
        <v>1.189297216105093</v>
      </c>
    </row>
    <row r="55" spans="1:4" ht="45" customHeight="1" x14ac:dyDescent="0.3">
      <c r="B55" s="52" t="s">
        <v>258</v>
      </c>
      <c r="C55" s="37" t="s">
        <v>259</v>
      </c>
      <c r="D55" s="59" t="s">
        <v>260</v>
      </c>
    </row>
    <row r="56" spans="1:4" ht="19.5" customHeight="1" x14ac:dyDescent="0.3">
      <c r="B56" s="54" t="s">
        <v>261</v>
      </c>
      <c r="C56" s="18" t="s">
        <v>262</v>
      </c>
      <c r="D56" s="56">
        <f>'Balance Sheet'!C42/'Balance Sheet'!C23</f>
        <v>1.0104282227645884</v>
      </c>
    </row>
    <row r="57" spans="1:4" ht="19.5" customHeight="1" x14ac:dyDescent="0.3">
      <c r="B57" s="52" t="s">
        <v>261</v>
      </c>
      <c r="C57" s="37" t="s">
        <v>263</v>
      </c>
      <c r="D57" s="57">
        <f>'Balance Sheet'!D42/'Balance Sheet'!D23</f>
        <v>1.1217678893565846</v>
      </c>
    </row>
    <row r="58" spans="1:4" ht="19.5" customHeight="1" x14ac:dyDescent="0.3">
      <c r="B58" s="54" t="s">
        <v>261</v>
      </c>
      <c r="C58" s="18" t="s">
        <v>264</v>
      </c>
      <c r="D58" s="56">
        <f>'Balance Sheet'!E42/'Balance Sheet'!E23</f>
        <v>1.2050496750578921</v>
      </c>
    </row>
    <row r="59" spans="1:4" ht="45" customHeight="1" x14ac:dyDescent="0.3">
      <c r="B59" s="52" t="s">
        <v>265</v>
      </c>
      <c r="C59" s="37" t="s">
        <v>266</v>
      </c>
      <c r="D59" s="59" t="s">
        <v>267</v>
      </c>
    </row>
    <row r="60" spans="1:4" ht="19.5" customHeight="1" x14ac:dyDescent="0.3">
      <c r="B60" s="54" t="s">
        <v>268</v>
      </c>
      <c r="C60" s="18" t="s">
        <v>269</v>
      </c>
      <c r="D60" s="56">
        <f>'P&amp;L'!C28/'Balance Sheet'!C11</f>
        <v>-0.69354112979097637</v>
      </c>
    </row>
    <row r="61" spans="1:4" ht="19.5" customHeight="1" x14ac:dyDescent="0.3">
      <c r="B61" s="52" t="s">
        <v>268</v>
      </c>
      <c r="C61" s="37" t="s">
        <v>270</v>
      </c>
      <c r="D61" s="57">
        <f>'P&amp;L'!D28/'Balance Sheet'!D11</f>
        <v>0.22442380719630034</v>
      </c>
    </row>
    <row r="62" spans="1:4" ht="19.5" customHeight="1" x14ac:dyDescent="0.3">
      <c r="B62" s="54" t="s">
        <v>268</v>
      </c>
      <c r="C62" s="18" t="s">
        <v>271</v>
      </c>
      <c r="D62" s="56">
        <f>'P&amp;L'!E28/'Balance Sheet'!E11</f>
        <v>0.17964841711325247</v>
      </c>
    </row>
    <row r="63" spans="1:4" ht="45" customHeight="1" x14ac:dyDescent="0.3">
      <c r="B63" s="52" t="s">
        <v>272</v>
      </c>
      <c r="C63" s="37" t="s">
        <v>273</v>
      </c>
      <c r="D63" s="59" t="s">
        <v>274</v>
      </c>
    </row>
    <row r="64" spans="1:4" ht="19.5" customHeight="1" x14ac:dyDescent="0.3">
      <c r="B64" s="54" t="s">
        <v>275</v>
      </c>
      <c r="C64" s="18" t="s">
        <v>276</v>
      </c>
      <c r="D64" s="56">
        <f>'P&amp;L'!C28/'Balance Sheet'!C44</f>
        <v>-4.8304843304843303E-2</v>
      </c>
    </row>
    <row r="65" spans="1:4" ht="19.5" customHeight="1" x14ac:dyDescent="0.3">
      <c r="B65" s="52" t="s">
        <v>275</v>
      </c>
      <c r="C65" s="37" t="s">
        <v>277</v>
      </c>
      <c r="D65" s="57">
        <f>'P&amp;L'!D28/'Balance Sheet'!D44</f>
        <v>3.2065538544184799E-2</v>
      </c>
    </row>
    <row r="66" spans="1:4" ht="19.5" customHeight="1" x14ac:dyDescent="0.3">
      <c r="B66" s="54" t="s">
        <v>275</v>
      </c>
      <c r="C66" s="18" t="s">
        <v>278</v>
      </c>
      <c r="D66" s="56">
        <f>'P&amp;L'!E28/'Balance Sheet'!E44</f>
        <v>3.5777118665551243E-2</v>
      </c>
    </row>
    <row r="67" spans="1:4" ht="19.5" customHeight="1" x14ac:dyDescent="0.3">
      <c r="B67" s="52" t="s">
        <v>279</v>
      </c>
      <c r="C67" s="37" t="s">
        <v>280</v>
      </c>
      <c r="D67" s="57">
        <f>'P&amp;L'!C6/'Balance Sheet'!C44</f>
        <v>0.98811111111111116</v>
      </c>
    </row>
    <row r="68" spans="1:4" ht="19.5" customHeight="1" x14ac:dyDescent="0.3">
      <c r="B68" s="54" t="s">
        <v>279</v>
      </c>
      <c r="C68" s="18" t="s">
        <v>281</v>
      </c>
      <c r="D68" s="56">
        <f>'P&amp;L'!D6/'Balance Sheet'!D44</f>
        <v>1.1762771958098308</v>
      </c>
    </row>
    <row r="69" spans="1:4" ht="19.5" customHeight="1" x14ac:dyDescent="0.3">
      <c r="B69" s="52" t="s">
        <v>279</v>
      </c>
      <c r="C69" s="37" t="s">
        <v>282</v>
      </c>
      <c r="D69" s="57">
        <f>'P&amp;L'!E6/'Balance Sheet'!E44</f>
        <v>1.1146475017111568</v>
      </c>
    </row>
    <row r="70" spans="1:4" ht="45" customHeight="1" x14ac:dyDescent="0.3">
      <c r="B70" s="54" t="s">
        <v>283</v>
      </c>
      <c r="C70" s="18" t="s">
        <v>284</v>
      </c>
      <c r="D70" s="58" t="s">
        <v>285</v>
      </c>
    </row>
    <row r="71" spans="1:4" ht="19.5" customHeight="1" x14ac:dyDescent="0.3">
      <c r="A71" s="1" t="s">
        <v>286</v>
      </c>
      <c r="B71" s="1"/>
      <c r="C71" s="1"/>
      <c r="D71" s="1"/>
    </row>
    <row r="72" spans="1:4" ht="19.5" customHeight="1" x14ac:dyDescent="0.3">
      <c r="B72" s="54" t="s">
        <v>287</v>
      </c>
      <c r="C72" s="18" t="s">
        <v>288</v>
      </c>
      <c r="D72" s="55">
        <f>'Cash Flow'!C11</f>
        <v>29396</v>
      </c>
    </row>
    <row r="73" spans="1:4" ht="19.5" customHeight="1" x14ac:dyDescent="0.3">
      <c r="B73" s="52" t="s">
        <v>287</v>
      </c>
      <c r="C73" s="37" t="s">
        <v>289</v>
      </c>
      <c r="D73" s="53">
        <f>'Cash Flow'!D11</f>
        <v>70841</v>
      </c>
    </row>
    <row r="74" spans="1:4" ht="19.5" customHeight="1" x14ac:dyDescent="0.3">
      <c r="B74" s="54" t="s">
        <v>287</v>
      </c>
      <c r="C74" s="18" t="s">
        <v>290</v>
      </c>
      <c r="D74" s="55">
        <f>'Cash Flow'!E11</f>
        <v>94362</v>
      </c>
    </row>
    <row r="75" spans="1:4" ht="45" customHeight="1" x14ac:dyDescent="0.3">
      <c r="B75" s="52" t="s">
        <v>291</v>
      </c>
      <c r="C75" s="37" t="s">
        <v>292</v>
      </c>
      <c r="D75" s="59" t="s">
        <v>293</v>
      </c>
    </row>
    <row r="76" spans="1:4" ht="19.5" customHeight="1" x14ac:dyDescent="0.3">
      <c r="B76" s="54" t="s">
        <v>294</v>
      </c>
      <c r="C76" s="18" t="s">
        <v>295</v>
      </c>
      <c r="D76" s="55">
        <f>'Cash Flow'!C31</f>
        <v>10756</v>
      </c>
    </row>
    <row r="77" spans="1:4" ht="19.5" customHeight="1" x14ac:dyDescent="0.3">
      <c r="B77" s="52" t="s">
        <v>294</v>
      </c>
      <c r="C77" s="37" t="s">
        <v>296</v>
      </c>
      <c r="D77" s="53">
        <f>'Cash Flow'!D31</f>
        <v>50421</v>
      </c>
    </row>
    <row r="78" spans="1:4" ht="19.5" customHeight="1" x14ac:dyDescent="0.3">
      <c r="B78" s="54" t="s">
        <v>294</v>
      </c>
      <c r="C78" s="18" t="s">
        <v>297</v>
      </c>
      <c r="D78" s="55">
        <f>'Cash Flow'!E31</f>
        <v>71522</v>
      </c>
    </row>
    <row r="79" spans="1:4" ht="19.5" customHeight="1" x14ac:dyDescent="0.3">
      <c r="A79" s="1" t="s">
        <v>298</v>
      </c>
      <c r="B79" s="1"/>
      <c r="C79" s="1"/>
      <c r="D79" s="1"/>
    </row>
    <row r="80" spans="1:4" ht="45" customHeight="1" x14ac:dyDescent="0.3">
      <c r="B80" s="54" t="s">
        <v>299</v>
      </c>
      <c r="C80" s="18" t="s">
        <v>300</v>
      </c>
      <c r="D80" s="58" t="s">
        <v>301</v>
      </c>
    </row>
    <row r="81" spans="2:4" ht="45" customHeight="1" x14ac:dyDescent="0.3">
      <c r="B81" s="52" t="s">
        <v>299</v>
      </c>
      <c r="C81" s="37" t="s">
        <v>302</v>
      </c>
      <c r="D81" s="59" t="s">
        <v>303</v>
      </c>
    </row>
    <row r="82" spans="2:4" ht="45" customHeight="1" x14ac:dyDescent="0.3">
      <c r="B82" s="54" t="s">
        <v>299</v>
      </c>
      <c r="C82" s="18" t="s">
        <v>304</v>
      </c>
      <c r="D82" s="58" t="s">
        <v>305</v>
      </c>
    </row>
    <row r="83" spans="2:4" ht="45" customHeight="1" x14ac:dyDescent="0.3">
      <c r="B83" s="52" t="s">
        <v>306</v>
      </c>
      <c r="C83" s="37" t="s">
        <v>307</v>
      </c>
      <c r="D83" s="59" t="s">
        <v>308</v>
      </c>
    </row>
    <row r="84" spans="2:4" ht="45" customHeight="1" x14ac:dyDescent="0.3">
      <c r="B84" s="54" t="s">
        <v>306</v>
      </c>
      <c r="C84" s="18" t="s">
        <v>309</v>
      </c>
      <c r="D84" s="58" t="s">
        <v>310</v>
      </c>
    </row>
    <row r="85" spans="2:4" ht="45" customHeight="1" x14ac:dyDescent="0.3">
      <c r="B85" s="52" t="s">
        <v>306</v>
      </c>
      <c r="C85" s="37" t="s">
        <v>311</v>
      </c>
      <c r="D85" s="59" t="s">
        <v>312</v>
      </c>
    </row>
    <row r="86" spans="2:4" ht="45" customHeight="1" x14ac:dyDescent="0.3">
      <c r="B86" s="54" t="s">
        <v>313</v>
      </c>
      <c r="C86" s="18" t="s">
        <v>314</v>
      </c>
      <c r="D86" s="58" t="s">
        <v>315</v>
      </c>
    </row>
    <row r="87" spans="2:4" ht="45" customHeight="1" x14ac:dyDescent="0.3">
      <c r="B87" s="52" t="s">
        <v>316</v>
      </c>
      <c r="C87" s="37" t="s">
        <v>317</v>
      </c>
      <c r="D87" s="59" t="s">
        <v>318</v>
      </c>
    </row>
    <row r="88" spans="2:4" ht="45" customHeight="1" x14ac:dyDescent="0.3">
      <c r="B88" s="54" t="s">
        <v>319</v>
      </c>
      <c r="C88" s="18" t="s">
        <v>320</v>
      </c>
      <c r="D88" s="58" t="s">
        <v>321</v>
      </c>
    </row>
  </sheetData>
  <mergeCells count="9">
    <mergeCell ref="A38:D38"/>
    <mergeCell ref="A51:D51"/>
    <mergeCell ref="A71:D71"/>
    <mergeCell ref="A79:D79"/>
    <mergeCell ref="A1:D1"/>
    <mergeCell ref="A2:D2"/>
    <mergeCell ref="A4:D4"/>
    <mergeCell ref="A11:D11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P&amp;L</vt:lpstr>
      <vt:lpstr>Balance Sheet</vt:lpstr>
      <vt:lpstr>Cash Flow</vt:lpstr>
      <vt:lpstr>Ratios &amp; KPIs</vt:lpstr>
      <vt:lpstr>Charts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shradha pandey</cp:lastModifiedBy>
  <cp:revision>2</cp:revision>
  <dcterms:created xsi:type="dcterms:W3CDTF">2026-03-04T15:10:27Z</dcterms:created>
  <dcterms:modified xsi:type="dcterms:W3CDTF">2026-03-04T15:19:33Z</dcterms:modified>
  <dc:language>en-US</dc:language>
</cp:coreProperties>
</file>